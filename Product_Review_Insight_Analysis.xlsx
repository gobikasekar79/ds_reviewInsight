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duct_Review_Insight_starter\Product_Review_Insight\"/>
    </mc:Choice>
  </mc:AlternateContent>
  <xr:revisionPtr revIDLastSave="0" documentId="13_ncr:1_{09F539F6-15F0-48B4-B4F6-9EBFCADEB4F5}" xr6:coauthVersionLast="47" xr6:coauthVersionMax="47" xr10:uidLastSave="{00000000-0000-0000-0000-000000000000}"/>
  <bookViews>
    <workbookView xWindow="-108" yWindow="-108" windowWidth="23256" windowHeight="12456" firstSheet="4" activeTab="7" xr2:uid="{A6F6A917-BC2A-4E2C-8639-DF774C8BE663}"/>
  </bookViews>
  <sheets>
    <sheet name="Support" sheetId="6" r:id="rId1"/>
    <sheet name="Orders" sheetId="5" r:id="rId2"/>
    <sheet name="Sellers" sheetId="4" r:id="rId3"/>
    <sheet name="Products" sheetId="3" r:id="rId4"/>
    <sheet name="Sheet2" sheetId="7" r:id="rId5"/>
    <sheet name="Sheet6" sheetId="11" r:id="rId6"/>
    <sheet name="Sheet8" sheetId="13" r:id="rId7"/>
    <sheet name="Summary" sheetId="14" r:id="rId8"/>
    <sheet name="Reviews" sheetId="2" r:id="rId9"/>
    <sheet name="Sheet1" sheetId="1" r:id="rId10"/>
  </sheets>
  <definedNames>
    <definedName name="ExternalData_1" localSheetId="8" hidden="1">'Reviews'!$A$1:$G$196</definedName>
    <definedName name="ExternalData_2" localSheetId="3" hidden="1">Products!$A$1:$E$62</definedName>
    <definedName name="ExternalData_3" localSheetId="2" hidden="1">Sellers!$A$1:$D$16</definedName>
    <definedName name="ExternalData_4" localSheetId="1" hidden="1">Orders!$A$1:$F$196</definedName>
    <definedName name="ExternalData_5" localSheetId="0" hidden="1">Support!$A$1:$E$72</definedName>
  </definedNames>
  <calcPr calcId="191029"/>
  <pivotCaches>
    <pivotCache cacheId="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BA5336-C3B1-4DDE-A0F6-68A8F60A657A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3A1A5CA2-9AC7-4AB1-A243-E4AED177E6D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99A7D5E2-4323-4FC9-8543-B2DD06AACD90}" keepAlive="1" name="Query - Reviews" description="Connection to the 'Reviews' query in the workbook." type="5" refreshedVersion="8" background="1" saveData="1">
    <dbPr connection="Provider=Microsoft.Mashup.OleDb.1;Data Source=$Workbook$;Location=Reviews;Extended Properties=&quot;&quot;" command="SELECT * FROM [Reviews]"/>
  </connection>
  <connection id="4" xr16:uid="{EC7B0D08-78C2-4211-8EF1-A8471DC87F5F}" keepAlive="1" name="Query - Sellers" description="Connection to the 'Sellers' query in the workbook." type="5" refreshedVersion="8" background="1" saveData="1">
    <dbPr connection="Provider=Microsoft.Mashup.OleDb.1;Data Source=$Workbook$;Location=Sellers;Extended Properties=&quot;&quot;" command="SELECT * FROM [Sellers]"/>
  </connection>
  <connection id="5" xr16:uid="{B6219035-4337-4C6B-AC28-663100B6F763}" keepAlive="1" name="Query - Support" description="Connection to the 'Support' query in the workbook." type="5" refreshedVersion="8" background="1" saveData="1">
    <dbPr connection="Provider=Microsoft.Mashup.OleDb.1;Data Source=$Workbook$;Location=Support;Extended Properties=&quot;&quot;" command="SELECT * FROM [Support]"/>
  </connection>
</connections>
</file>

<file path=xl/sharedStrings.xml><?xml version="1.0" encoding="utf-8"?>
<sst xmlns="http://schemas.openxmlformats.org/spreadsheetml/2006/main" count="1740" uniqueCount="630">
  <si>
    <t>review_id</t>
  </si>
  <si>
    <t>product_id</t>
  </si>
  <si>
    <t>rating</t>
  </si>
  <si>
    <t>review_length</t>
  </si>
  <si>
    <t>verified</t>
  </si>
  <si>
    <t>review_date</t>
  </si>
  <si>
    <t>long_review_flag</t>
  </si>
  <si>
    <t>R0189</t>
  </si>
  <si>
    <t>P018</t>
  </si>
  <si>
    <t>R0154</t>
  </si>
  <si>
    <t>P002</t>
  </si>
  <si>
    <t>R0164</t>
  </si>
  <si>
    <t>P010</t>
  </si>
  <si>
    <t>R0125</t>
  </si>
  <si>
    <t>P056</t>
  </si>
  <si>
    <t>R0043</t>
  </si>
  <si>
    <t>P021</t>
  </si>
  <si>
    <t>R0026</t>
  </si>
  <si>
    <t>P006</t>
  </si>
  <si>
    <t>R0136</t>
  </si>
  <si>
    <t>P052</t>
  </si>
  <si>
    <t>R0168</t>
  </si>
  <si>
    <t>P028</t>
  </si>
  <si>
    <t>R0138</t>
  </si>
  <si>
    <t>R0137</t>
  </si>
  <si>
    <t>P055</t>
  </si>
  <si>
    <t>R0109</t>
  </si>
  <si>
    <t>P048</t>
  </si>
  <si>
    <t>R0119</t>
  </si>
  <si>
    <t>P009</t>
  </si>
  <si>
    <t>R0117</t>
  </si>
  <si>
    <t>P014</t>
  </si>
  <si>
    <t>R0110</t>
  </si>
  <si>
    <t>P045</t>
  </si>
  <si>
    <t>R0169</t>
  </si>
  <si>
    <t>P049</t>
  </si>
  <si>
    <t>R0187</t>
  </si>
  <si>
    <t>P017</t>
  </si>
  <si>
    <t>R0031</t>
  </si>
  <si>
    <t>P024</t>
  </si>
  <si>
    <t>R0051</t>
  </si>
  <si>
    <t>R0175</t>
  </si>
  <si>
    <t>P029</t>
  </si>
  <si>
    <t>R0130</t>
  </si>
  <si>
    <t>P037</t>
  </si>
  <si>
    <t>R0022</t>
  </si>
  <si>
    <t>R0049</t>
  </si>
  <si>
    <t>P027</t>
  </si>
  <si>
    <t>R0098</t>
  </si>
  <si>
    <t>P054</t>
  </si>
  <si>
    <t>R0104</t>
  </si>
  <si>
    <t>R0096</t>
  </si>
  <si>
    <t>P039</t>
  </si>
  <si>
    <t>R0188</t>
  </si>
  <si>
    <t>R0085</t>
  </si>
  <si>
    <t>R0135</t>
  </si>
  <si>
    <t>P053</t>
  </si>
  <si>
    <t>R0134</t>
  </si>
  <si>
    <t>P031</t>
  </si>
  <si>
    <t>R0086</t>
  </si>
  <si>
    <t>P040</t>
  </si>
  <si>
    <t>R0173</t>
  </si>
  <si>
    <t>R0105</t>
  </si>
  <si>
    <t>P059</t>
  </si>
  <si>
    <t>R0002</t>
  </si>
  <si>
    <t>P047</t>
  </si>
  <si>
    <t>R0160</t>
  </si>
  <si>
    <t>R0027</t>
  </si>
  <si>
    <t>P034</t>
  </si>
  <si>
    <t>R0021</t>
  </si>
  <si>
    <t>R0101</t>
  </si>
  <si>
    <t>P022</t>
  </si>
  <si>
    <t>R0193</t>
  </si>
  <si>
    <t>P050</t>
  </si>
  <si>
    <t>R0185</t>
  </si>
  <si>
    <t>R0006</t>
  </si>
  <si>
    <t>R0112</t>
  </si>
  <si>
    <t>R0067</t>
  </si>
  <si>
    <t>P001</t>
  </si>
  <si>
    <t>R0068</t>
  </si>
  <si>
    <t>P051</t>
  </si>
  <si>
    <t>R0139</t>
  </si>
  <si>
    <t>P042</t>
  </si>
  <si>
    <t>R0147</t>
  </si>
  <si>
    <t>P013</t>
  </si>
  <si>
    <t>R0162</t>
  </si>
  <si>
    <t>R0061</t>
  </si>
  <si>
    <t>P044</t>
  </si>
  <si>
    <t>R0015</t>
  </si>
  <si>
    <t>R0072</t>
  </si>
  <si>
    <t>P020</t>
  </si>
  <si>
    <t>R0032</t>
  </si>
  <si>
    <t>R0151</t>
  </si>
  <si>
    <t>R0143</t>
  </si>
  <si>
    <t>P058</t>
  </si>
  <si>
    <t>R0003</t>
  </si>
  <si>
    <t>P019</t>
  </si>
  <si>
    <t>R0011</t>
  </si>
  <si>
    <t>R0155</t>
  </si>
  <si>
    <t>R0092</t>
  </si>
  <si>
    <t>R0044</t>
  </si>
  <si>
    <t>P033</t>
  </si>
  <si>
    <t>R0073</t>
  </si>
  <si>
    <t>R0126</t>
  </si>
  <si>
    <t>P035</t>
  </si>
  <si>
    <t>R0127</t>
  </si>
  <si>
    <t>P012</t>
  </si>
  <si>
    <t>R0019</t>
  </si>
  <si>
    <t>R0066</t>
  </si>
  <si>
    <t>R0156</t>
  </si>
  <si>
    <t>R0186</t>
  </si>
  <si>
    <t>R0095</t>
  </si>
  <si>
    <t>R0014</t>
  </si>
  <si>
    <t>R0081</t>
  </si>
  <si>
    <t>P057</t>
  </si>
  <si>
    <t>R0180</t>
  </si>
  <si>
    <t>R0106</t>
  </si>
  <si>
    <t>R0089</t>
  </si>
  <si>
    <t>R0030</t>
  </si>
  <si>
    <t>P026</t>
  </si>
  <si>
    <t>R0059</t>
  </si>
  <si>
    <t>R0145</t>
  </si>
  <si>
    <t>R0009</t>
  </si>
  <si>
    <t>P025</t>
  </si>
  <si>
    <t>R0070</t>
  </si>
  <si>
    <t>R0018</t>
  </si>
  <si>
    <t>P030</t>
  </si>
  <si>
    <t>R0142</t>
  </si>
  <si>
    <t>P008</t>
  </si>
  <si>
    <t>R0192</t>
  </si>
  <si>
    <t>R0114</t>
  </si>
  <si>
    <t>R0094</t>
  </si>
  <si>
    <t>R0037</t>
  </si>
  <si>
    <t>R0172</t>
  </si>
  <si>
    <t>R0074</t>
  </si>
  <si>
    <t>R0091</t>
  </si>
  <si>
    <t>R0088</t>
  </si>
  <si>
    <t>R0133</t>
  </si>
  <si>
    <t>R0128</t>
  </si>
  <si>
    <t>R0020</t>
  </si>
  <si>
    <t>R0038</t>
  </si>
  <si>
    <t>R0178</t>
  </si>
  <si>
    <t>R0075</t>
  </si>
  <si>
    <t>P005</t>
  </si>
  <si>
    <t>R0042</t>
  </si>
  <si>
    <t>R0039</t>
  </si>
  <si>
    <t>R0090</t>
  </si>
  <si>
    <t>R0108</t>
  </si>
  <si>
    <t>R0076</t>
  </si>
  <si>
    <t>R0050</t>
  </si>
  <si>
    <t>R0167</t>
  </si>
  <si>
    <t>P003</t>
  </si>
  <si>
    <t>R0010</t>
  </si>
  <si>
    <t>R0163</t>
  </si>
  <si>
    <t>R0028</t>
  </si>
  <si>
    <t>R0016</t>
  </si>
  <si>
    <t>R0005</t>
  </si>
  <si>
    <t>R0121</t>
  </si>
  <si>
    <t>P041</t>
  </si>
  <si>
    <t>R0040</t>
  </si>
  <si>
    <t>R0093</t>
  </si>
  <si>
    <t>R0132</t>
  </si>
  <si>
    <t>R0004</t>
  </si>
  <si>
    <t>R0170</t>
  </si>
  <si>
    <t>R0069</t>
  </si>
  <si>
    <t>R0033</t>
  </si>
  <si>
    <t>R0123</t>
  </si>
  <si>
    <t>R0036</t>
  </si>
  <si>
    <t>P038</t>
  </si>
  <si>
    <t>R0056</t>
  </si>
  <si>
    <t>R0046</t>
  </si>
  <si>
    <t>R0140</t>
  </si>
  <si>
    <t>P043</t>
  </si>
  <si>
    <t>R0131</t>
  </si>
  <si>
    <t>R0062</t>
  </si>
  <si>
    <t>R0001</t>
  </si>
  <si>
    <t>R0182</t>
  </si>
  <si>
    <t>R0035</t>
  </si>
  <si>
    <t>R0029</t>
  </si>
  <si>
    <t>R0034</t>
  </si>
  <si>
    <t>R0124</t>
  </si>
  <si>
    <t>R0008</t>
  </si>
  <si>
    <t>R0107</t>
  </si>
  <si>
    <t>R0087</t>
  </si>
  <si>
    <t>R0153</t>
  </si>
  <si>
    <t>R0024</t>
  </si>
  <si>
    <t>R0012</t>
  </si>
  <si>
    <t>R0065</t>
  </si>
  <si>
    <t>R0058</t>
  </si>
  <si>
    <t>P004</t>
  </si>
  <si>
    <t>R0060</t>
  </si>
  <si>
    <t>R0023</t>
  </si>
  <si>
    <t>R0102</t>
  </si>
  <si>
    <t>R0025</t>
  </si>
  <si>
    <t>R0149</t>
  </si>
  <si>
    <t>R0055</t>
  </si>
  <si>
    <t>R0166</t>
  </si>
  <si>
    <t>P007</t>
  </si>
  <si>
    <t>R0122</t>
  </si>
  <si>
    <t>R0064</t>
  </si>
  <si>
    <t>R0165</t>
  </si>
  <si>
    <t>R0041</t>
  </si>
  <si>
    <t>R0047</t>
  </si>
  <si>
    <t>P023</t>
  </si>
  <si>
    <t>R0183</t>
  </si>
  <si>
    <t>R0141</t>
  </si>
  <si>
    <t>P011</t>
  </si>
  <si>
    <t>R0053</t>
  </si>
  <si>
    <t>R0080</t>
  </si>
  <si>
    <t>R0195</t>
  </si>
  <si>
    <t>R0120</t>
  </si>
  <si>
    <t>R0097</t>
  </si>
  <si>
    <t>P032</t>
  </si>
  <si>
    <t>R0079</t>
  </si>
  <si>
    <t>R0129</t>
  </si>
  <si>
    <t>R0071</t>
  </si>
  <si>
    <t>P046</t>
  </si>
  <si>
    <t>R0113</t>
  </si>
  <si>
    <t>P060</t>
  </si>
  <si>
    <t>R0190</t>
  </si>
  <si>
    <t>R0045</t>
  </si>
  <si>
    <t>R0082</t>
  </si>
  <si>
    <t>R0157</t>
  </si>
  <si>
    <t>R0100</t>
  </si>
  <si>
    <t>R0052</t>
  </si>
  <si>
    <t>R0158</t>
  </si>
  <si>
    <t>R0148</t>
  </si>
  <si>
    <t>R0084</t>
  </si>
  <si>
    <t>R0077</t>
  </si>
  <si>
    <t>R0115</t>
  </si>
  <si>
    <t>R0191</t>
  </si>
  <si>
    <t>P016</t>
  </si>
  <si>
    <t>R0017</t>
  </si>
  <si>
    <t>R0179</t>
  </si>
  <si>
    <t>R0013</t>
  </si>
  <si>
    <t>P015</t>
  </si>
  <si>
    <t>R0118</t>
  </si>
  <si>
    <t>R0048</t>
  </si>
  <si>
    <t>R0083</t>
  </si>
  <si>
    <t>R0057</t>
  </si>
  <si>
    <t>R0176</t>
  </si>
  <si>
    <t>R0152</t>
  </si>
  <si>
    <t>R0171</t>
  </si>
  <si>
    <t>R0144</t>
  </si>
  <si>
    <t>R0159</t>
  </si>
  <si>
    <t>R0150</t>
  </si>
  <si>
    <t>R0111</t>
  </si>
  <si>
    <t>R0181</t>
  </si>
  <si>
    <t>R0116</t>
  </si>
  <si>
    <t>R0184</t>
  </si>
  <si>
    <t>R0146</t>
  </si>
  <si>
    <t>R0174</t>
  </si>
  <si>
    <t>R0099</t>
  </si>
  <si>
    <t>R0161</t>
  </si>
  <si>
    <t>R0078</t>
  </si>
  <si>
    <t>R0103</t>
  </si>
  <si>
    <t>R0194</t>
  </si>
  <si>
    <t>R0177</t>
  </si>
  <si>
    <t>R0007</t>
  </si>
  <si>
    <t>R0063</t>
  </si>
  <si>
    <t>R0054</t>
  </si>
  <si>
    <t>Column1</t>
  </si>
  <si>
    <t>Column2</t>
  </si>
  <si>
    <t>Column3</t>
  </si>
  <si>
    <t>Column4</t>
  </si>
  <si>
    <t>Column5</t>
  </si>
  <si>
    <t>category</t>
  </si>
  <si>
    <t>brand</t>
  </si>
  <si>
    <t>price_band</t>
  </si>
  <si>
    <t>seller_id</t>
  </si>
  <si>
    <t>Electronics</t>
  </si>
  <si>
    <t>NovaTech</t>
  </si>
  <si>
    <t>Premium</t>
  </si>
  <si>
    <t>S001</t>
  </si>
  <si>
    <t>Home</t>
  </si>
  <si>
    <t>NestWell</t>
  </si>
  <si>
    <t>S005</t>
  </si>
  <si>
    <t>Beauty</t>
  </si>
  <si>
    <t>DermaLeaf</t>
  </si>
  <si>
    <t>Mid-range</t>
  </si>
  <si>
    <t>S009</t>
  </si>
  <si>
    <t>Sports</t>
  </si>
  <si>
    <t>ActivePeak</t>
  </si>
  <si>
    <t>S008</t>
  </si>
  <si>
    <t>Books</t>
  </si>
  <si>
    <t>Readify</t>
  </si>
  <si>
    <t>S006</t>
  </si>
  <si>
    <t>ByteWorks</t>
  </si>
  <si>
    <t>S007</t>
  </si>
  <si>
    <t>CasaCo</t>
  </si>
  <si>
    <t>S004</t>
  </si>
  <si>
    <t>GlowLab</t>
  </si>
  <si>
    <t>InkHouse</t>
  </si>
  <si>
    <t>S003</t>
  </si>
  <si>
    <t>Budget</t>
  </si>
  <si>
    <t>DailyLiving</t>
  </si>
  <si>
    <t>S013</t>
  </si>
  <si>
    <t>MoveMore</t>
  </si>
  <si>
    <t>S015</t>
  </si>
  <si>
    <t>PageTurner</t>
  </si>
  <si>
    <t>S010</t>
  </si>
  <si>
    <t>S002</t>
  </si>
  <si>
    <t>TrailPro</t>
  </si>
  <si>
    <t>S014</t>
  </si>
  <si>
    <t>P036</t>
  </si>
  <si>
    <t>S012</t>
  </si>
  <si>
    <t>S011</t>
  </si>
  <si>
    <t>Orbit</t>
  </si>
  <si>
    <t>seller_name</t>
  </si>
  <si>
    <t>region</t>
  </si>
  <si>
    <t>tenure_years</t>
  </si>
  <si>
    <t>Seller_01</t>
  </si>
  <si>
    <t>South</t>
  </si>
  <si>
    <t>Seller_02</t>
  </si>
  <si>
    <t>Seller_03</t>
  </si>
  <si>
    <t>Central</t>
  </si>
  <si>
    <t>Seller_04</t>
  </si>
  <si>
    <t>North</t>
  </si>
  <si>
    <t>Seller_05</t>
  </si>
  <si>
    <t>West</t>
  </si>
  <si>
    <t>Seller_06</t>
  </si>
  <si>
    <t>Seller_07</t>
  </si>
  <si>
    <t>Seller_08</t>
  </si>
  <si>
    <t>Seller_09</t>
  </si>
  <si>
    <t>Seller_10</t>
  </si>
  <si>
    <t>Seller_11</t>
  </si>
  <si>
    <t>Seller_12</t>
  </si>
  <si>
    <t>Seller_13</t>
  </si>
  <si>
    <t>Seller_14</t>
  </si>
  <si>
    <t>Seller_15</t>
  </si>
  <si>
    <t>order_id</t>
  </si>
  <si>
    <t>delivery_days</t>
  </si>
  <si>
    <t>discount_percent</t>
  </si>
  <si>
    <t>return_flag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</si>
  <si>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</si>
  <si>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</si>
  <si>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</si>
  <si>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</si>
  <si>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</si>
  <si>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</si>
  <si>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</si>
  <si>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</si>
  <si>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</si>
  <si>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</si>
  <si>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</si>
  <si>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</si>
  <si>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</si>
  <si>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</si>
  <si>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</si>
  <si>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</si>
  <si>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</si>
  <si>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</si>
  <si>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</si>
  <si>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</si>
  <si>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</si>
  <si>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</si>
  <si>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</si>
  <si>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</si>
  <si>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</si>
  <si>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</si>
  <si>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</si>
  <si>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</si>
  <si>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</si>
  <si>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</si>
  <si>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</si>
  <si>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</si>
  <si>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</si>
  <si>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</si>
  <si>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</si>
  <si>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</si>
  <si>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</si>
  <si>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</si>
  <si>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</si>
  <si>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</si>
  <si>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</si>
  <si>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</si>
  <si>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</si>
  <si>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</si>
  <si>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</si>
  <si>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</si>
  <si>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</si>
  <si>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</si>
  <si>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</si>
  <si>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</si>
  <si>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</si>
  <si>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</si>
  <si>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</si>
  <si>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</si>
  <si>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</si>
  <si>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</si>
  <si>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</si>
  <si>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</si>
  <si>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</si>
  <si>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</si>
  <si>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</si>
  <si>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</si>
  <si>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</si>
  <si>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</si>
  <si>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</si>
  <si>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</si>
  <si>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</si>
  <si>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</si>
  <si>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</si>
  <si>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</si>
  <si>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</si>
  <si>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</si>
  <si>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</si>
  <si>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</si>
  <si>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</si>
  <si>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</si>
  <si>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</si>
  <si>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</si>
  <si>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</si>
  <si>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</si>
  <si>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</si>
  <si>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</si>
  <si>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</si>
  <si>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</si>
  <si>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</si>
  <si>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</si>
  <si>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</si>
  <si>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</si>
  <si>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</si>
  <si>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</si>
  <si>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</si>
  <si>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</si>
  <si>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</si>
  <si>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</si>
  <si>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</si>
  <si>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</si>
  <si>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</si>
  <si>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</si>
  <si>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</si>
  <si>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</si>
  <si>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</si>
  <si>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</si>
  <si>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</si>
  <si>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</si>
  <si>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</si>
  <si>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</si>
  <si>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</si>
  <si>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</si>
  <si>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</si>
  <si>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</si>
  <si>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</si>
  <si>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</si>
  <si>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</si>
  <si>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</si>
  <si>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</si>
  <si>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</si>
  <si>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</si>
  <si>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</si>
  <si>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</si>
  <si>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</si>
  <si>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</si>
  <si>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</si>
  <si>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</si>
  <si>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</si>
  <si>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</si>
  <si>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</si>
  <si>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</si>
  <si>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</si>
  <si>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</si>
  <si>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</si>
  <si>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</si>
  <si>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</si>
  <si>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</si>
  <si>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</si>
  <si>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</si>
  <si>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</si>
  <si>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</si>
  <si>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</si>
  <si>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</si>
  <si>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</si>
  <si>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</si>
  <si>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</si>
  <si>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</si>
  <si>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</si>
  <si>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</si>
  <si>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</si>
  <si>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</si>
  <si>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</si>
  <si>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</si>
  <si>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</si>
  <si>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</si>
  <si>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</si>
  <si>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</si>
  <si>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</si>
  <si>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</si>
  <si>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</si>
  <si>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</si>
  <si>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</si>
  <si>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</si>
  <si>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</si>
  <si>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</si>
  <si>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</si>
  <si>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</si>
  <si>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</si>
  <si>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</si>
  <si>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</si>
  <si>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</si>
  <si>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</si>
  <si>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</si>
  <si>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</si>
  <si>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</si>
  <si>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</si>
  <si>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</si>
  <si>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</si>
  <si>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</si>
  <si>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</si>
  <si>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</si>
  <si>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</si>
  <si>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</si>
  <si>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</si>
  <si>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</si>
  <si>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</si>
  <si>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</si>
  <si>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</si>
  <si>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</si>
  <si>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</si>
  <si>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</si>
  <si>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</si>
  <si>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</si>
  <si>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</si>
  <si>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</si>
  <si>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</si>
  <si>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</si>
  <si>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</si>
  <si>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</si>
  <si>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ticket_id</t>
  </si>
  <si>
    <t>complaint_category</t>
  </si>
  <si>
    <t>resolution</t>
  </si>
  <si>
    <t>T0001</t>
  </si>
  <si>
    <t>Wrong item</t>
  </si>
  <si>
    <t>Resolved</t>
  </si>
  <si>
    <t>T0002</t>
  </si>
  <si>
    <t>Product quality</t>
  </si>
  <si>
    <t>T0003</t>
  </si>
  <si>
    <t>Escalated</t>
  </si>
  <si>
    <t>T0004</t>
  </si>
  <si>
    <t>Pending</t>
  </si>
  <si>
    <t>T0005</t>
  </si>
  <si>
    <t>Late delivery</t>
  </si>
  <si>
    <t>T0006</t>
  </si>
  <si>
    <t>Refund issue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</si>
  <si>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</si>
  <si>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</si>
  <si>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</si>
  <si>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</si>
  <si>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</si>
  <si>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</si>
  <si>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</si>
  <si>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</si>
  <si>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Damaged item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</si>
  <si>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</si>
  <si>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</si>
  <si>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</si>
  <si>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</si>
  <si>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</si>
  <si>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</si>
  <si>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</si>
  <si>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</si>
  <si>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</si>
  <si>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</si>
  <si>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</si>
  <si>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</si>
  <si>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</si>
  <si>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</si>
  <si>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</si>
  <si>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</si>
  <si>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</si>
  <si>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</si>
  <si>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</si>
  <si>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</si>
  <si>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</si>
  <si>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</si>
  <si>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</si>
  <si>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</si>
  <si>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</si>
  <si>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</si>
  <si>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</si>
  <si>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</si>
  <si>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</si>
  <si>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</si>
  <si>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</si>
  <si>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</si>
  <si>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</si>
  <si>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</si>
  <si>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</si>
  <si>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</si>
  <si>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</si>
  <si>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</si>
  <si>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</si>
  <si>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</si>
  <si>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</si>
  <si>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</si>
  <si>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</si>
  <si>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</si>
  <si>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</si>
  <si>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</si>
  <si>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</si>
  <si>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</si>
  <si>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</si>
  <si>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</si>
  <si>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</si>
  <si>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</si>
  <si>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</si>
  <si>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</si>
  <si>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</si>
  <si>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</si>
  <si>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Row Labels</t>
  </si>
  <si>
    <t>Grand Total</t>
  </si>
  <si>
    <t>Average of rating</t>
  </si>
  <si>
    <t>Average Rating by Product Category</t>
  </si>
  <si>
    <t>FALSE</t>
  </si>
  <si>
    <t>TRUE</t>
  </si>
  <si>
    <t>Verified vs Unverified Ratings</t>
  </si>
  <si>
    <t>Average Rating by Delivery Days</t>
  </si>
  <si>
    <t>PRODUCT REVIEW INSIGHT</t>
  </si>
  <si>
    <t>KEY BUSINESS INSIGHTS</t>
  </si>
  <si>
    <t>Overall Average Rating</t>
  </si>
  <si>
    <t>3.32 / 5</t>
  </si>
  <si>
    <t>Highest Rated Category</t>
  </si>
  <si>
    <t>Books – 3.52 / 5</t>
  </si>
  <si>
    <t>Lowest Rated Category</t>
  </si>
  <si>
    <t>Electronics – 3.11 / 5</t>
  </si>
  <si>
    <t>Verified Review Average</t>
  </si>
  <si>
    <t>3.17 / 5</t>
  </si>
  <si>
    <t>Unverified Review Average</t>
  </si>
  <si>
    <t>3.48 /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</si>
</sst>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[Product_Review_Insight_Analysis.xlsx]Sheet2!PivotTable1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3.4444444444444446</c:v>
                </c:pt>
                <c:pt idx="1">
                  <c:v>3.5161290322580645</c:v>
                </c:pt>
                <c:pt idx="2">
                  <c:v>3.1071428571428572</c:v>
                </c:pt>
                <c:pt idx="3">
                  <c:v>3.3055555555555554</c:v>
                </c:pt>
                <c:pt idx="4">
                  <c:v>3.2413793103448274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E-4C54-8336-1EB17BA21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799296"/>
        <c:axId val="136800256"/>
      </c:barChart>
      <c:catAx>
        <c:axId val="1367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00256"/>
        <c:crosses val="autoZero"/>
        <c:auto val="1"/>
        <c:lblAlgn val="ctr"/>
        <c:lblOffset val="100"/>
        <c:noMultiLvlLbl val="0"/>
      </c:catAx>
      <c:valAx>
        <c:axId val="13680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[Product_Review_Insight_Analysis.xlsx]Sheet6!PivotTable5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3.4831460674157304</c:v>
                </c:pt>
                <c:pt idx="1">
                  <c:v>3.17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5-41DB-A6B2-22B2885C2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275984"/>
        <c:axId val="2127276464"/>
      </c:barChart>
      <c:catAx>
        <c:axId val="212727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76464"/>
        <c:crosses val="autoZero"/>
        <c:auto val="1"/>
        <c:lblAlgn val="ctr"/>
        <c:lblOffset val="100"/>
        <c:noMultiLvlLbl val="0"/>
      </c:catAx>
      <c:valAx>
        <c:axId val="212727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27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[Product_Review_Insight_Analysis.xlsx]Sheet8!PivotTable7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Sheet8!$A$4:$A$13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Sheet8!$B$4:$B$13</c:f>
              <c:numCache>
                <c:formatCode>General</c:formatCode>
                <c:ptCount val="9"/>
                <c:pt idx="0">
                  <c:v>4</c:v>
                </c:pt>
                <c:pt idx="1">
                  <c:v>3.25</c:v>
                </c:pt>
                <c:pt idx="2">
                  <c:v>3.2619047619047619</c:v>
                </c:pt>
                <c:pt idx="3">
                  <c:v>3.1842105263157894</c:v>
                </c:pt>
                <c:pt idx="4">
                  <c:v>3.5666666666666669</c:v>
                </c:pt>
                <c:pt idx="5">
                  <c:v>3.0555555555555554</c:v>
                </c:pt>
                <c:pt idx="6">
                  <c:v>3.2</c:v>
                </c:pt>
                <c:pt idx="7">
                  <c:v>3.3846153846153846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2-47CA-9547-106F24D8D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9252944"/>
        <c:axId val="868988864"/>
      </c:lineChart>
      <c:catAx>
        <c:axId val="22925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88864"/>
        <c:crosses val="autoZero"/>
        <c:auto val="1"/>
        <c:lblAlgn val="ctr"/>
        <c:lblOffset val="100"/>
        <c:noMultiLvlLbl val="0"/>
      </c:catAx>
      <c:valAx>
        <c:axId val="8689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41910</xdr:rowOff>
    </xdr:from>
    <xdr:to>
      <xdr:col>11</xdr:col>
      <xdr:colOff>167640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1E3AE-A163-460E-2CF7-0117E9A00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41910</xdr:rowOff>
    </xdr:from>
    <xdr:to>
      <xdr:col>11</xdr:col>
      <xdr:colOff>167640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105C1-A1F2-48F0-C7B7-9AAD88E77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6</xdr:row>
      <xdr:rowOff>45720</xdr:rowOff>
    </xdr:from>
    <xdr:to>
      <xdr:col>11</xdr:col>
      <xdr:colOff>167640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24D361-8ABA-895F-F347-57984DC6D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bika sekar" refreshedDate="46307.598718402776" createdVersion="8" refreshedVersion="8" minRefreshableVersion="3" recordCount="195" xr:uid="{8678F71B-B1DC-4314-A707-EEA9BC7F2C87}">
  <cacheSource type="worksheet">
    <worksheetSource name="Reviews"/>
  </cacheSource>
  <cacheFields count="9">
    <cacheField name="review_id" numFmtId="0">
      <sharedItems/>
    </cacheField>
    <cacheField name="product_id" numFmtId="0">
      <sharedItems/>
    </cacheField>
    <cacheField name="rating" numFmtId="0">
      <sharedItems containsString="0" containsBlank="1" containsNumber="1" containsInteger="1" minValue="1" maxValue="5"/>
    </cacheField>
    <cacheField name="review_length" numFmtId="0">
      <sharedItems containsSemiMixedTypes="0" containsString="0" containsNumber="1" containsInteger="1" minValue="8" maxValue="3200"/>
    </cacheField>
    <cacheField name="verified" numFmtId="0">
      <sharedItems count="2">
        <b v="1"/>
        <b v="0"/>
      </sharedItems>
    </cacheField>
    <cacheField name="review_date" numFmtId="14">
      <sharedItems containsSemiMixedTypes="0" containsNonDate="0" containsDate="1" containsString="0" minDate="2025-01-01T00:00:00" maxDate="2026-01-01T00:00:00"/>
    </cacheField>
    <cacheField name="long_review_flag" numFmtId="0">
      <sharedItems/>
    </cacheField>
    <cacheField name="category" numFmtId="0">
      <sharedItems count="5">
        <s v="Beauty"/>
        <s v="Home"/>
        <s v="Books"/>
        <s v="Electronics"/>
        <s v="Sports"/>
      </sharedItems>
    </cacheField>
    <cacheField name="delivery_days" numFmtId="0">
      <sharedItems containsSemiMixedTypes="0" containsString="0" containsNumber="1" containsInteger="1" minValue="1" maxValue="9" count="9">
        <n v="2"/>
        <n v="5"/>
        <n v="6"/>
        <n v="3"/>
        <n v="7"/>
        <n v="8"/>
        <n v="4"/>
        <n v="9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s v="R0189"/>
    <s v="P018"/>
    <n v="5"/>
    <n v="26"/>
    <x v="0"/>
    <d v="2025-05-02T00:00:00"/>
    <b v="0"/>
    <x v="0"/>
    <x v="0"/>
  </r>
  <r>
    <s v="R0154"/>
    <s v="P002"/>
    <n v="4"/>
    <n v="24"/>
    <x v="1"/>
    <d v="2025-05-11T00:00:00"/>
    <b v="0"/>
    <x v="1"/>
    <x v="1"/>
  </r>
  <r>
    <s v="R0164"/>
    <s v="P010"/>
    <n v="3"/>
    <n v="136"/>
    <x v="0"/>
    <d v="2025-05-31T00:00:00"/>
    <b v="1"/>
    <x v="2"/>
    <x v="2"/>
  </r>
  <r>
    <s v="R0125"/>
    <s v="P056"/>
    <n v="2"/>
    <n v="48"/>
    <x v="0"/>
    <d v="2025-01-05T00:00:00"/>
    <b v="0"/>
    <x v="3"/>
    <x v="3"/>
  </r>
  <r>
    <s v="R0043"/>
    <s v="P021"/>
    <n v="5"/>
    <n v="30"/>
    <x v="0"/>
    <d v="2025-08-26T00:00:00"/>
    <b v="0"/>
    <x v="3"/>
    <x v="0"/>
  </r>
  <r>
    <s v="R0026"/>
    <s v="P006"/>
    <n v="4"/>
    <n v="62"/>
    <x v="0"/>
    <d v="2025-04-30T00:00:00"/>
    <b v="0"/>
    <x v="3"/>
    <x v="2"/>
  </r>
  <r>
    <s v="R0136"/>
    <s v="P052"/>
    <n v="1"/>
    <n v="20"/>
    <x v="1"/>
    <d v="2025-02-13T00:00:00"/>
    <b v="0"/>
    <x v="1"/>
    <x v="1"/>
  </r>
  <r>
    <s v="R0168"/>
    <s v="P028"/>
    <n v="4"/>
    <n v="28"/>
    <x v="1"/>
    <d v="2025-11-18T00:00:00"/>
    <b v="0"/>
    <x v="0"/>
    <x v="3"/>
  </r>
  <r>
    <s v="R0138"/>
    <s v="P010"/>
    <n v="5"/>
    <n v="32"/>
    <x v="1"/>
    <d v="2025-08-20T00:00:00"/>
    <b v="0"/>
    <x v="2"/>
    <x v="4"/>
  </r>
  <r>
    <s v="R0137"/>
    <s v="P055"/>
    <n v="2"/>
    <n v="27"/>
    <x v="0"/>
    <d v="2025-10-10T00:00:00"/>
    <b v="0"/>
    <x v="2"/>
    <x v="1"/>
  </r>
  <r>
    <s v="R0109"/>
    <s v="P048"/>
    <n v="4"/>
    <n v="16"/>
    <x v="1"/>
    <d v="2025-02-05T00:00:00"/>
    <b v="0"/>
    <x v="0"/>
    <x v="5"/>
  </r>
  <r>
    <s v="R0119"/>
    <s v="P009"/>
    <n v="5"/>
    <n v="45"/>
    <x v="0"/>
    <d v="2025-03-24T00:00:00"/>
    <b v="0"/>
    <x v="4"/>
    <x v="1"/>
  </r>
  <r>
    <s v="R0117"/>
    <s v="P014"/>
    <n v="1"/>
    <n v="26"/>
    <x v="1"/>
    <d v="2025-07-26T00:00:00"/>
    <b v="0"/>
    <x v="4"/>
    <x v="6"/>
  </r>
  <r>
    <s v="R0110"/>
    <s v="P045"/>
    <n v="2"/>
    <n v="28"/>
    <x v="1"/>
    <d v="2025-01-30T00:00:00"/>
    <b v="0"/>
    <x v="2"/>
    <x v="6"/>
  </r>
  <r>
    <s v="R0169"/>
    <s v="P049"/>
    <n v="5"/>
    <n v="14"/>
    <x v="1"/>
    <d v="2025-11-27T00:00:00"/>
    <b v="0"/>
    <x v="4"/>
    <x v="7"/>
  </r>
  <r>
    <s v="R0187"/>
    <s v="P017"/>
    <n v="4"/>
    <n v="33"/>
    <x v="0"/>
    <d v="2025-04-01T00:00:00"/>
    <b v="0"/>
    <x v="1"/>
    <x v="0"/>
  </r>
  <r>
    <s v="R0031"/>
    <s v="P024"/>
    <n v="5"/>
    <n v="87"/>
    <x v="0"/>
    <d v="2025-03-24T00:00:00"/>
    <b v="0"/>
    <x v="4"/>
    <x v="3"/>
  </r>
  <r>
    <s v="R0051"/>
    <s v="P002"/>
    <n v="4"/>
    <n v="32"/>
    <x v="0"/>
    <d v="2025-11-04T00:00:00"/>
    <b v="0"/>
    <x v="1"/>
    <x v="3"/>
  </r>
  <r>
    <s v="R0175"/>
    <s v="P029"/>
    <n v="1"/>
    <n v="99"/>
    <x v="0"/>
    <d v="2025-01-26T00:00:00"/>
    <b v="0"/>
    <x v="4"/>
    <x v="2"/>
  </r>
  <r>
    <s v="R0130"/>
    <s v="P037"/>
    <n v="5"/>
    <n v="56"/>
    <x v="0"/>
    <d v="2025-08-27T00:00:00"/>
    <b v="0"/>
    <x v="1"/>
    <x v="2"/>
  </r>
  <r>
    <s v="R0022"/>
    <s v="P024"/>
    <n v="4"/>
    <n v="49"/>
    <x v="0"/>
    <d v="2025-12-11T00:00:00"/>
    <b v="0"/>
    <x v="4"/>
    <x v="5"/>
  </r>
  <r>
    <s v="R0049"/>
    <s v="P027"/>
    <n v="1"/>
    <n v="41"/>
    <x v="0"/>
    <d v="2025-09-09T00:00:00"/>
    <b v="0"/>
    <x v="1"/>
    <x v="6"/>
  </r>
  <r>
    <s v="R0098"/>
    <s v="P054"/>
    <n v="5"/>
    <n v="58"/>
    <x v="0"/>
    <d v="2025-08-24T00:00:00"/>
    <b v="0"/>
    <x v="4"/>
    <x v="3"/>
  </r>
  <r>
    <s v="R0104"/>
    <s v="P029"/>
    <n v="3"/>
    <n v="39"/>
    <x v="1"/>
    <d v="2025-01-03T00:00:00"/>
    <b v="0"/>
    <x v="4"/>
    <x v="0"/>
  </r>
  <r>
    <s v="R0096"/>
    <s v="P039"/>
    <n v="3"/>
    <n v="81"/>
    <x v="1"/>
    <d v="2025-05-15T00:00:00"/>
    <b v="0"/>
    <x v="4"/>
    <x v="1"/>
  </r>
  <r>
    <s v="R0188"/>
    <s v="P049"/>
    <n v="5"/>
    <n v="47"/>
    <x v="1"/>
    <d v="2025-10-21T00:00:00"/>
    <b v="0"/>
    <x v="4"/>
    <x v="3"/>
  </r>
  <r>
    <s v="R0085"/>
    <s v="P027"/>
    <n v="5"/>
    <n v="73"/>
    <x v="1"/>
    <d v="2025-05-31T00:00:00"/>
    <b v="0"/>
    <x v="1"/>
    <x v="2"/>
  </r>
  <r>
    <s v="R0135"/>
    <s v="P053"/>
    <n v="5"/>
    <n v="16"/>
    <x v="0"/>
    <d v="2025-09-24T00:00:00"/>
    <b v="0"/>
    <x v="0"/>
    <x v="6"/>
  </r>
  <r>
    <s v="R0134"/>
    <s v="P031"/>
    <n v="3"/>
    <n v="35"/>
    <x v="0"/>
    <d v="2025-11-22T00:00:00"/>
    <b v="0"/>
    <x v="3"/>
    <x v="6"/>
  </r>
  <r>
    <s v="R0086"/>
    <s v="P040"/>
    <n v="5"/>
    <n v="15"/>
    <x v="0"/>
    <d v="2025-06-03T00:00:00"/>
    <b v="0"/>
    <x v="2"/>
    <x v="4"/>
  </r>
  <r>
    <s v="R0173"/>
    <s v="P049"/>
    <n v="1"/>
    <n v="90"/>
    <x v="0"/>
    <d v="2025-01-22T00:00:00"/>
    <b v="0"/>
    <x v="4"/>
    <x v="6"/>
  </r>
  <r>
    <s v="R0105"/>
    <s v="P059"/>
    <n v="4"/>
    <n v="9"/>
    <x v="0"/>
    <d v="2025-01-18T00:00:00"/>
    <b v="0"/>
    <x v="4"/>
    <x v="8"/>
  </r>
  <r>
    <s v="R0002"/>
    <s v="P047"/>
    <n v="3"/>
    <n v="9"/>
    <x v="1"/>
    <d v="2025-11-28T00:00:00"/>
    <b v="0"/>
    <x v="1"/>
    <x v="0"/>
  </r>
  <r>
    <s v="R0160"/>
    <s v="P017"/>
    <n v="3"/>
    <n v="23"/>
    <x v="1"/>
    <d v="2025-12-27T00:00:00"/>
    <b v="0"/>
    <x v="1"/>
    <x v="2"/>
  </r>
  <r>
    <s v="R0027"/>
    <s v="P034"/>
    <n v="4"/>
    <n v="65"/>
    <x v="1"/>
    <d v="2025-03-23T00:00:00"/>
    <b v="0"/>
    <x v="4"/>
    <x v="1"/>
  </r>
  <r>
    <s v="R0021"/>
    <s v="P034"/>
    <n v="5"/>
    <n v="42"/>
    <x v="1"/>
    <d v="2025-09-18T00:00:00"/>
    <b v="0"/>
    <x v="4"/>
    <x v="6"/>
  </r>
  <r>
    <s v="R0101"/>
    <s v="P022"/>
    <n v="1"/>
    <n v="43"/>
    <x v="0"/>
    <d v="2025-04-17T00:00:00"/>
    <b v="0"/>
    <x v="1"/>
    <x v="0"/>
  </r>
  <r>
    <s v="R0193"/>
    <s v="P050"/>
    <n v="2"/>
    <n v="58"/>
    <x v="0"/>
    <d v="2025-05-12T00:00:00"/>
    <b v="0"/>
    <x v="2"/>
    <x v="0"/>
  </r>
  <r>
    <s v="R0185"/>
    <s v="P029"/>
    <n v="1"/>
    <n v="151"/>
    <x v="0"/>
    <d v="2025-11-11T00:00:00"/>
    <b v="1"/>
    <x v="4"/>
    <x v="2"/>
  </r>
  <r>
    <s v="R0006"/>
    <s v="P039"/>
    <n v="1"/>
    <n v="49"/>
    <x v="0"/>
    <d v="2025-08-28T00:00:00"/>
    <b v="0"/>
    <x v="4"/>
    <x v="3"/>
  </r>
  <r>
    <s v="R0112"/>
    <s v="P049"/>
    <m/>
    <n v="52"/>
    <x v="0"/>
    <d v="2025-10-23T00:00:00"/>
    <b v="0"/>
    <x v="4"/>
    <x v="0"/>
  </r>
  <r>
    <s v="R0067"/>
    <s v="P001"/>
    <n v="3"/>
    <n v="37"/>
    <x v="0"/>
    <d v="2025-10-05T00:00:00"/>
    <b v="0"/>
    <x v="3"/>
    <x v="5"/>
  </r>
  <r>
    <s v="R0068"/>
    <s v="P051"/>
    <n v="5"/>
    <n v="93"/>
    <x v="1"/>
    <d v="2025-04-25T00:00:00"/>
    <b v="0"/>
    <x v="3"/>
    <x v="3"/>
  </r>
  <r>
    <s v="R0139"/>
    <s v="P042"/>
    <n v="4"/>
    <n v="36"/>
    <x v="0"/>
    <d v="2025-04-16T00:00:00"/>
    <b v="0"/>
    <x v="1"/>
    <x v="0"/>
  </r>
  <r>
    <s v="R0147"/>
    <s v="P013"/>
    <n v="4"/>
    <n v="120"/>
    <x v="0"/>
    <d v="2025-10-23T00:00:00"/>
    <b v="0"/>
    <x v="0"/>
    <x v="2"/>
  </r>
  <r>
    <s v="R0162"/>
    <s v="P040"/>
    <n v="4"/>
    <n v="68"/>
    <x v="1"/>
    <d v="2025-06-04T00:00:00"/>
    <b v="0"/>
    <x v="2"/>
    <x v="3"/>
  </r>
  <r>
    <s v="R0061"/>
    <s v="P044"/>
    <n v="4"/>
    <n v="19"/>
    <x v="0"/>
    <d v="2025-03-09T00:00:00"/>
    <b v="0"/>
    <x v="4"/>
    <x v="3"/>
  </r>
  <r>
    <s v="R0015"/>
    <s v="P029"/>
    <n v="4"/>
    <n v="20"/>
    <x v="1"/>
    <d v="2025-09-04T00:00:00"/>
    <b v="0"/>
    <x v="4"/>
    <x v="3"/>
  </r>
  <r>
    <s v="R0072"/>
    <s v="P020"/>
    <n v="3"/>
    <n v="30"/>
    <x v="0"/>
    <d v="2025-02-17T00:00:00"/>
    <b v="0"/>
    <x v="2"/>
    <x v="6"/>
  </r>
  <r>
    <s v="R0032"/>
    <s v="P024"/>
    <n v="3"/>
    <n v="16"/>
    <x v="1"/>
    <d v="2025-09-06T00:00:00"/>
    <b v="0"/>
    <x v="4"/>
    <x v="6"/>
  </r>
  <r>
    <s v="R0151"/>
    <s v="P024"/>
    <n v="3"/>
    <n v="186"/>
    <x v="1"/>
    <d v="2025-10-01T00:00:00"/>
    <b v="1"/>
    <x v="4"/>
    <x v="5"/>
  </r>
  <r>
    <s v="R0143"/>
    <s v="P058"/>
    <n v="4"/>
    <n v="65"/>
    <x v="0"/>
    <d v="2025-03-07T00:00:00"/>
    <b v="0"/>
    <x v="0"/>
    <x v="1"/>
  </r>
  <r>
    <s v="R0003"/>
    <s v="P019"/>
    <n v="5"/>
    <n v="69"/>
    <x v="1"/>
    <d v="2025-01-26T00:00:00"/>
    <b v="0"/>
    <x v="4"/>
    <x v="6"/>
  </r>
  <r>
    <s v="R0011"/>
    <s v="P017"/>
    <n v="5"/>
    <n v="45"/>
    <x v="0"/>
    <d v="2025-07-08T00:00:00"/>
    <b v="0"/>
    <x v="1"/>
    <x v="1"/>
  </r>
  <r>
    <s v="R0155"/>
    <s v="P039"/>
    <m/>
    <n v="91"/>
    <x v="1"/>
    <d v="2025-08-11T00:00:00"/>
    <b v="0"/>
    <x v="4"/>
    <x v="4"/>
  </r>
  <r>
    <s v="R0092"/>
    <s v="P001"/>
    <n v="1"/>
    <n v="93"/>
    <x v="1"/>
    <d v="2025-05-09T00:00:00"/>
    <b v="0"/>
    <x v="3"/>
    <x v="0"/>
  </r>
  <r>
    <s v="R0044"/>
    <s v="P033"/>
    <n v="1"/>
    <n v="33"/>
    <x v="0"/>
    <d v="2025-05-12T00:00:00"/>
    <b v="0"/>
    <x v="0"/>
    <x v="1"/>
  </r>
  <r>
    <s v="R0073"/>
    <s v="P034"/>
    <n v="4"/>
    <n v="38"/>
    <x v="0"/>
    <d v="2025-09-06T00:00:00"/>
    <b v="0"/>
    <x v="4"/>
    <x v="6"/>
  </r>
  <r>
    <s v="R0126"/>
    <s v="P035"/>
    <n v="3"/>
    <n v="43"/>
    <x v="0"/>
    <d v="2025-09-23T00:00:00"/>
    <b v="0"/>
    <x v="2"/>
    <x v="2"/>
  </r>
  <r>
    <s v="R0127"/>
    <s v="P012"/>
    <n v="1"/>
    <n v="11"/>
    <x v="0"/>
    <d v="2025-10-23T00:00:00"/>
    <b v="0"/>
    <x v="1"/>
    <x v="3"/>
  </r>
  <r>
    <s v="R0019"/>
    <s v="P013"/>
    <n v="3"/>
    <n v="58"/>
    <x v="0"/>
    <d v="2025-10-10T00:00:00"/>
    <b v="0"/>
    <x v="0"/>
    <x v="1"/>
  </r>
  <r>
    <s v="R0066"/>
    <s v="P055"/>
    <n v="3"/>
    <n v="25"/>
    <x v="0"/>
    <d v="2025-01-31T00:00:00"/>
    <b v="0"/>
    <x v="2"/>
    <x v="1"/>
  </r>
  <r>
    <s v="R0156"/>
    <s v="P024"/>
    <n v="1"/>
    <n v="25"/>
    <x v="0"/>
    <d v="2025-07-01T00:00:00"/>
    <b v="0"/>
    <x v="4"/>
    <x v="0"/>
  </r>
  <r>
    <s v="R0186"/>
    <s v="P029"/>
    <n v="2"/>
    <n v="34"/>
    <x v="0"/>
    <d v="2025-10-28T00:00:00"/>
    <b v="0"/>
    <x v="4"/>
    <x v="3"/>
  </r>
  <r>
    <s v="R0095"/>
    <s v="P053"/>
    <n v="3"/>
    <n v="196"/>
    <x v="1"/>
    <d v="2025-04-16T00:00:00"/>
    <b v="1"/>
    <x v="0"/>
    <x v="1"/>
  </r>
  <r>
    <s v="R0014"/>
    <s v="P053"/>
    <n v="4"/>
    <n v="22"/>
    <x v="1"/>
    <d v="2025-02-25T00:00:00"/>
    <b v="0"/>
    <x v="0"/>
    <x v="1"/>
  </r>
  <r>
    <s v="R0081"/>
    <s v="P057"/>
    <n v="3"/>
    <n v="104"/>
    <x v="1"/>
    <d v="2025-09-17T00:00:00"/>
    <b v="0"/>
    <x v="1"/>
    <x v="3"/>
  </r>
  <r>
    <s v="R0180"/>
    <s v="P053"/>
    <n v="2"/>
    <n v="34"/>
    <x v="0"/>
    <d v="2025-05-23T00:00:00"/>
    <b v="0"/>
    <x v="0"/>
    <x v="3"/>
  </r>
  <r>
    <s v="R0106"/>
    <s v="P001"/>
    <n v="5"/>
    <n v="143"/>
    <x v="0"/>
    <d v="2025-09-19T00:00:00"/>
    <b v="1"/>
    <x v="3"/>
    <x v="3"/>
  </r>
  <r>
    <s v="R0089"/>
    <s v="P033"/>
    <n v="3"/>
    <n v="69"/>
    <x v="0"/>
    <d v="2025-12-31T00:00:00"/>
    <b v="0"/>
    <x v="0"/>
    <x v="0"/>
  </r>
  <r>
    <s v="R0030"/>
    <s v="P026"/>
    <n v="4"/>
    <n v="74"/>
    <x v="0"/>
    <d v="2025-03-19T00:00:00"/>
    <b v="0"/>
    <x v="3"/>
    <x v="1"/>
  </r>
  <r>
    <s v="R0059"/>
    <s v="P014"/>
    <n v="5"/>
    <n v="47"/>
    <x v="1"/>
    <d v="2025-09-02T00:00:00"/>
    <b v="0"/>
    <x v="4"/>
    <x v="3"/>
  </r>
  <r>
    <s v="R0145"/>
    <s v="P051"/>
    <n v="2"/>
    <n v="46"/>
    <x v="0"/>
    <d v="2025-09-14T00:00:00"/>
    <b v="0"/>
    <x v="3"/>
    <x v="3"/>
  </r>
  <r>
    <s v="R0009"/>
    <s v="P025"/>
    <n v="3"/>
    <n v="22"/>
    <x v="1"/>
    <d v="2025-03-02T00:00:00"/>
    <b v="0"/>
    <x v="2"/>
    <x v="3"/>
  </r>
  <r>
    <s v="R0070"/>
    <s v="P002"/>
    <n v="5"/>
    <n v="160"/>
    <x v="1"/>
    <d v="2025-05-23T00:00:00"/>
    <b v="1"/>
    <x v="1"/>
    <x v="0"/>
  </r>
  <r>
    <s v="R0018"/>
    <s v="P030"/>
    <n v="5"/>
    <n v="2400"/>
    <x v="1"/>
    <d v="2025-09-18T00:00:00"/>
    <b v="1"/>
    <x v="2"/>
    <x v="0"/>
  </r>
  <r>
    <s v="R0142"/>
    <s v="P008"/>
    <n v="4"/>
    <n v="76"/>
    <x v="0"/>
    <d v="2025-10-18T00:00:00"/>
    <b v="0"/>
    <x v="0"/>
    <x v="6"/>
  </r>
  <r>
    <s v="R0192"/>
    <s v="P034"/>
    <n v="2"/>
    <n v="79"/>
    <x v="0"/>
    <d v="2025-09-25T00:00:00"/>
    <b v="0"/>
    <x v="4"/>
    <x v="4"/>
  </r>
  <r>
    <s v="R0114"/>
    <s v="P048"/>
    <n v="5"/>
    <n v="69"/>
    <x v="0"/>
    <d v="2025-01-10T00:00:00"/>
    <b v="0"/>
    <x v="0"/>
    <x v="0"/>
  </r>
  <r>
    <s v="R0094"/>
    <s v="P029"/>
    <n v="4"/>
    <n v="55"/>
    <x v="1"/>
    <d v="2025-02-17T00:00:00"/>
    <b v="0"/>
    <x v="4"/>
    <x v="5"/>
  </r>
  <r>
    <s v="R0037"/>
    <s v="P012"/>
    <n v="4"/>
    <n v="94"/>
    <x v="0"/>
    <d v="2025-02-13T00:00:00"/>
    <b v="0"/>
    <x v="1"/>
    <x v="6"/>
  </r>
  <r>
    <s v="R0172"/>
    <s v="P012"/>
    <n v="2"/>
    <n v="40"/>
    <x v="1"/>
    <d v="2025-03-18T00:00:00"/>
    <b v="0"/>
    <x v="1"/>
    <x v="3"/>
  </r>
  <r>
    <s v="R0074"/>
    <s v="P058"/>
    <n v="4"/>
    <n v="40"/>
    <x v="0"/>
    <d v="2025-05-25T00:00:00"/>
    <b v="0"/>
    <x v="0"/>
    <x v="6"/>
  </r>
  <r>
    <s v="R0091"/>
    <s v="P034"/>
    <n v="3"/>
    <n v="34"/>
    <x v="1"/>
    <d v="2025-10-21T00:00:00"/>
    <b v="0"/>
    <x v="4"/>
    <x v="3"/>
  </r>
  <r>
    <s v="R0088"/>
    <s v="P013"/>
    <n v="3"/>
    <n v="12"/>
    <x v="0"/>
    <d v="2025-03-21T00:00:00"/>
    <b v="0"/>
    <x v="0"/>
    <x v="8"/>
  </r>
  <r>
    <s v="R0133"/>
    <s v="P013"/>
    <n v="5"/>
    <n v="77"/>
    <x v="1"/>
    <d v="2025-11-27T00:00:00"/>
    <b v="0"/>
    <x v="0"/>
    <x v="2"/>
  </r>
  <r>
    <s v="R0128"/>
    <s v="P002"/>
    <n v="4"/>
    <n v="12"/>
    <x v="1"/>
    <d v="2025-01-11T00:00:00"/>
    <b v="0"/>
    <x v="1"/>
    <x v="6"/>
  </r>
  <r>
    <s v="R0020"/>
    <s v="P026"/>
    <n v="2"/>
    <n v="193"/>
    <x v="0"/>
    <d v="2025-08-19T00:00:00"/>
    <b v="1"/>
    <x v="3"/>
    <x v="6"/>
  </r>
  <r>
    <s v="R0038"/>
    <s v="P039"/>
    <n v="3"/>
    <n v="46"/>
    <x v="0"/>
    <d v="2025-09-04T00:00:00"/>
    <b v="0"/>
    <x v="4"/>
    <x v="3"/>
  </r>
  <r>
    <s v="R0178"/>
    <s v="P048"/>
    <n v="5"/>
    <n v="95"/>
    <x v="0"/>
    <d v="2025-06-16T00:00:00"/>
    <b v="0"/>
    <x v="0"/>
    <x v="3"/>
  </r>
  <r>
    <s v="R0075"/>
    <s v="P005"/>
    <n v="3"/>
    <n v="128"/>
    <x v="0"/>
    <d v="2025-04-14T00:00:00"/>
    <b v="1"/>
    <x v="2"/>
    <x v="3"/>
  </r>
  <r>
    <s v="R0042"/>
    <s v="P013"/>
    <n v="4"/>
    <n v="55"/>
    <x v="0"/>
    <d v="2025-12-05T00:00:00"/>
    <b v="0"/>
    <x v="0"/>
    <x v="1"/>
  </r>
  <r>
    <s v="R0039"/>
    <s v="P022"/>
    <n v="4"/>
    <n v="33"/>
    <x v="1"/>
    <d v="2025-05-02T00:00:00"/>
    <b v="0"/>
    <x v="1"/>
    <x v="1"/>
  </r>
  <r>
    <s v="R0090"/>
    <s v="P025"/>
    <n v="2"/>
    <n v="53"/>
    <x v="0"/>
    <d v="2025-02-12T00:00:00"/>
    <b v="0"/>
    <x v="2"/>
    <x v="7"/>
  </r>
  <r>
    <s v="R0108"/>
    <s v="P055"/>
    <n v="5"/>
    <n v="10"/>
    <x v="0"/>
    <d v="2025-08-17T00:00:00"/>
    <b v="0"/>
    <x v="2"/>
    <x v="8"/>
  </r>
  <r>
    <s v="R0076"/>
    <s v="P002"/>
    <n v="2"/>
    <n v="3200"/>
    <x v="1"/>
    <d v="2025-10-14T00:00:00"/>
    <b v="1"/>
    <x v="1"/>
    <x v="4"/>
  </r>
  <r>
    <s v="R0050"/>
    <s v="P019"/>
    <n v="3"/>
    <n v="21"/>
    <x v="0"/>
    <d v="2025-02-16T00:00:00"/>
    <b v="0"/>
    <x v="4"/>
    <x v="6"/>
  </r>
  <r>
    <s v="R0167"/>
    <s v="P003"/>
    <n v="4"/>
    <n v="73"/>
    <x v="1"/>
    <d v="2025-01-10T00:00:00"/>
    <b v="0"/>
    <x v="0"/>
    <x v="7"/>
  </r>
  <r>
    <s v="R0010"/>
    <s v="P031"/>
    <n v="3"/>
    <n v="64"/>
    <x v="0"/>
    <d v="2025-08-02T00:00:00"/>
    <b v="0"/>
    <x v="3"/>
    <x v="6"/>
  </r>
  <r>
    <s v="R0163"/>
    <s v="P027"/>
    <m/>
    <n v="17"/>
    <x v="1"/>
    <d v="2025-05-19T00:00:00"/>
    <b v="0"/>
    <x v="1"/>
    <x v="3"/>
  </r>
  <r>
    <s v="R0028"/>
    <s v="P051"/>
    <n v="1"/>
    <n v="47"/>
    <x v="1"/>
    <d v="2025-07-21T00:00:00"/>
    <b v="0"/>
    <x v="3"/>
    <x v="1"/>
  </r>
  <r>
    <s v="R0016"/>
    <s v="P014"/>
    <n v="2"/>
    <n v="18"/>
    <x v="0"/>
    <d v="2025-01-17T00:00:00"/>
    <b v="0"/>
    <x v="4"/>
    <x v="0"/>
  </r>
  <r>
    <s v="R0005"/>
    <s v="P039"/>
    <n v="3"/>
    <n v="34"/>
    <x v="1"/>
    <d v="2025-12-22T00:00:00"/>
    <b v="0"/>
    <x v="4"/>
    <x v="6"/>
  </r>
  <r>
    <s v="R0121"/>
    <s v="P041"/>
    <n v="2"/>
    <n v="8"/>
    <x v="1"/>
    <d v="2025-05-30T00:00:00"/>
    <b v="0"/>
    <x v="3"/>
    <x v="3"/>
  </r>
  <r>
    <s v="R0040"/>
    <s v="P033"/>
    <n v="3"/>
    <n v="23"/>
    <x v="0"/>
    <d v="2025-07-14T00:00:00"/>
    <b v="0"/>
    <x v="0"/>
    <x v="2"/>
  </r>
  <r>
    <s v="R0093"/>
    <s v="P001"/>
    <n v="5"/>
    <n v="112"/>
    <x v="1"/>
    <d v="2025-05-09T00:00:00"/>
    <b v="0"/>
    <x v="3"/>
    <x v="3"/>
  </r>
  <r>
    <s v="R0132"/>
    <s v="P059"/>
    <m/>
    <n v="26"/>
    <x v="0"/>
    <d v="2025-09-10T00:00:00"/>
    <b v="0"/>
    <x v="4"/>
    <x v="1"/>
  </r>
  <r>
    <s v="R0004"/>
    <s v="P054"/>
    <n v="1"/>
    <n v="66"/>
    <x v="1"/>
    <d v="2025-04-06T00:00:00"/>
    <b v="0"/>
    <x v="4"/>
    <x v="6"/>
  </r>
  <r>
    <s v="R0170"/>
    <s v="P054"/>
    <n v="4"/>
    <n v="44"/>
    <x v="0"/>
    <d v="2025-06-11T00:00:00"/>
    <b v="0"/>
    <x v="4"/>
    <x v="2"/>
  </r>
  <r>
    <s v="R0069"/>
    <s v="P021"/>
    <n v="4"/>
    <n v="29"/>
    <x v="1"/>
    <d v="2025-06-26T00:00:00"/>
    <b v="0"/>
    <x v="3"/>
    <x v="1"/>
  </r>
  <r>
    <s v="R0033"/>
    <s v="P018"/>
    <n v="3"/>
    <n v="25"/>
    <x v="1"/>
    <d v="2025-09-13T00:00:00"/>
    <b v="0"/>
    <x v="0"/>
    <x v="1"/>
  </r>
  <r>
    <s v="R0123"/>
    <s v="P045"/>
    <n v="3"/>
    <n v="14"/>
    <x v="1"/>
    <d v="2025-09-25T00:00:00"/>
    <b v="0"/>
    <x v="2"/>
    <x v="6"/>
  </r>
  <r>
    <s v="R0036"/>
    <s v="P038"/>
    <n v="1"/>
    <n v="122"/>
    <x v="1"/>
    <d v="2025-12-10T00:00:00"/>
    <b v="1"/>
    <x v="0"/>
    <x v="6"/>
  </r>
  <r>
    <s v="R0056"/>
    <s v="P051"/>
    <n v="4"/>
    <n v="64"/>
    <x v="1"/>
    <d v="2025-10-26T00:00:00"/>
    <b v="0"/>
    <x v="3"/>
    <x v="0"/>
  </r>
  <r>
    <s v="R0046"/>
    <s v="P017"/>
    <n v="5"/>
    <n v="23"/>
    <x v="0"/>
    <d v="2025-11-15T00:00:00"/>
    <b v="0"/>
    <x v="1"/>
    <x v="4"/>
  </r>
  <r>
    <s v="R0140"/>
    <s v="P043"/>
    <n v="1"/>
    <n v="16"/>
    <x v="1"/>
    <d v="2025-02-13T00:00:00"/>
    <b v="0"/>
    <x v="0"/>
    <x v="3"/>
  </r>
  <r>
    <s v="R0131"/>
    <s v="P022"/>
    <n v="2"/>
    <n v="3200"/>
    <x v="0"/>
    <d v="2025-08-29T00:00:00"/>
    <b v="1"/>
    <x v="1"/>
    <x v="1"/>
  </r>
  <r>
    <s v="R0062"/>
    <s v="P042"/>
    <n v="3"/>
    <n v="17"/>
    <x v="1"/>
    <d v="2025-11-12T00:00:00"/>
    <b v="0"/>
    <x v="1"/>
    <x v="5"/>
  </r>
  <r>
    <s v="R0001"/>
    <s v="P017"/>
    <n v="3"/>
    <n v="46"/>
    <x v="1"/>
    <d v="2025-10-26T00:00:00"/>
    <b v="0"/>
    <x v="1"/>
    <x v="0"/>
  </r>
  <r>
    <s v="R0182"/>
    <s v="P027"/>
    <n v="3"/>
    <n v="229"/>
    <x v="0"/>
    <d v="2025-07-08T00:00:00"/>
    <b v="1"/>
    <x v="1"/>
    <x v="3"/>
  </r>
  <r>
    <s v="R0035"/>
    <s v="P018"/>
    <n v="5"/>
    <n v="9"/>
    <x v="1"/>
    <d v="2025-12-12T00:00:00"/>
    <b v="0"/>
    <x v="0"/>
    <x v="6"/>
  </r>
  <r>
    <s v="R0029"/>
    <s v="P017"/>
    <n v="1"/>
    <n v="50"/>
    <x v="1"/>
    <d v="2025-10-25T00:00:00"/>
    <b v="0"/>
    <x v="1"/>
    <x v="2"/>
  </r>
  <r>
    <s v="R0034"/>
    <s v="P019"/>
    <n v="3"/>
    <n v="30"/>
    <x v="1"/>
    <d v="2025-07-19T00:00:00"/>
    <b v="0"/>
    <x v="4"/>
    <x v="6"/>
  </r>
  <r>
    <s v="R0124"/>
    <s v="P029"/>
    <n v="5"/>
    <n v="169"/>
    <x v="0"/>
    <d v="2025-03-19T00:00:00"/>
    <b v="1"/>
    <x v="4"/>
    <x v="6"/>
  </r>
  <r>
    <s v="R0008"/>
    <s v="P056"/>
    <n v="1"/>
    <n v="10"/>
    <x v="0"/>
    <d v="2025-03-10T00:00:00"/>
    <b v="0"/>
    <x v="3"/>
    <x v="0"/>
  </r>
  <r>
    <s v="R0107"/>
    <s v="P054"/>
    <n v="4"/>
    <n v="38"/>
    <x v="1"/>
    <d v="2025-04-10T00:00:00"/>
    <b v="0"/>
    <x v="4"/>
    <x v="6"/>
  </r>
  <r>
    <s v="R0087"/>
    <s v="P008"/>
    <n v="3"/>
    <n v="42"/>
    <x v="1"/>
    <d v="2025-04-27T00:00:00"/>
    <b v="0"/>
    <x v="0"/>
    <x v="3"/>
  </r>
  <r>
    <s v="R0153"/>
    <s v="P029"/>
    <n v="3"/>
    <n v="35"/>
    <x v="0"/>
    <d v="2025-06-12T00:00:00"/>
    <b v="0"/>
    <x v="4"/>
    <x v="4"/>
  </r>
  <r>
    <s v="R0024"/>
    <s v="P024"/>
    <n v="2"/>
    <n v="88"/>
    <x v="0"/>
    <d v="2025-10-30T00:00:00"/>
    <b v="0"/>
    <x v="4"/>
    <x v="3"/>
  </r>
  <r>
    <s v="R0012"/>
    <s v="P053"/>
    <n v="3"/>
    <n v="15"/>
    <x v="1"/>
    <d v="2025-10-10T00:00:00"/>
    <b v="0"/>
    <x v="0"/>
    <x v="3"/>
  </r>
  <r>
    <s v="R0065"/>
    <s v="P031"/>
    <n v="4"/>
    <n v="12"/>
    <x v="0"/>
    <d v="2025-12-18T00:00:00"/>
    <b v="0"/>
    <x v="3"/>
    <x v="5"/>
  </r>
  <r>
    <s v="R0058"/>
    <s v="P004"/>
    <n v="3"/>
    <n v="8"/>
    <x v="1"/>
    <d v="2025-03-08T00:00:00"/>
    <b v="0"/>
    <x v="4"/>
    <x v="8"/>
  </r>
  <r>
    <s v="R0060"/>
    <s v="P038"/>
    <n v="4"/>
    <n v="38"/>
    <x v="0"/>
    <d v="2025-11-04T00:00:00"/>
    <b v="0"/>
    <x v="0"/>
    <x v="6"/>
  </r>
  <r>
    <s v="R0023"/>
    <s v="P022"/>
    <n v="5"/>
    <n v="19"/>
    <x v="0"/>
    <d v="2025-01-06T00:00:00"/>
    <b v="0"/>
    <x v="1"/>
    <x v="1"/>
  </r>
  <r>
    <s v="R0102"/>
    <s v="P014"/>
    <n v="5"/>
    <n v="24"/>
    <x v="0"/>
    <d v="2025-07-27T00:00:00"/>
    <b v="0"/>
    <x v="4"/>
    <x v="0"/>
  </r>
  <r>
    <s v="R0025"/>
    <s v="P009"/>
    <n v="2"/>
    <n v="120"/>
    <x v="1"/>
    <d v="2025-10-12T00:00:00"/>
    <b v="0"/>
    <x v="4"/>
    <x v="6"/>
  </r>
  <r>
    <s v="R0149"/>
    <s v="P055"/>
    <n v="3"/>
    <n v="41"/>
    <x v="0"/>
    <d v="2025-08-24T00:00:00"/>
    <b v="0"/>
    <x v="2"/>
    <x v="3"/>
  </r>
  <r>
    <s v="R0055"/>
    <s v="P037"/>
    <n v="4"/>
    <n v="41"/>
    <x v="1"/>
    <d v="2025-10-29T00:00:00"/>
    <b v="0"/>
    <x v="1"/>
    <x v="8"/>
  </r>
  <r>
    <s v="R0166"/>
    <s v="P007"/>
    <n v="4"/>
    <n v="69"/>
    <x v="1"/>
    <d v="2025-05-05T00:00:00"/>
    <b v="0"/>
    <x v="1"/>
    <x v="1"/>
  </r>
  <r>
    <s v="R0122"/>
    <s v="P045"/>
    <n v="5"/>
    <n v="30"/>
    <x v="1"/>
    <d v="2025-04-27T00:00:00"/>
    <b v="0"/>
    <x v="2"/>
    <x v="6"/>
  </r>
  <r>
    <s v="R0064"/>
    <s v="P022"/>
    <n v="4"/>
    <n v="217"/>
    <x v="0"/>
    <d v="2025-07-19T00:00:00"/>
    <b v="1"/>
    <x v="1"/>
    <x v="5"/>
  </r>
  <r>
    <s v="R0165"/>
    <s v="P006"/>
    <n v="2"/>
    <n v="30"/>
    <x v="1"/>
    <d v="2025-04-26T00:00:00"/>
    <b v="0"/>
    <x v="3"/>
    <x v="2"/>
  </r>
  <r>
    <s v="R0041"/>
    <s v="P013"/>
    <n v="3"/>
    <n v="50"/>
    <x v="1"/>
    <d v="2025-06-24T00:00:00"/>
    <b v="0"/>
    <x v="0"/>
    <x v="4"/>
  </r>
  <r>
    <s v="R0047"/>
    <s v="P023"/>
    <n v="4"/>
    <n v="42"/>
    <x v="0"/>
    <d v="2025-12-31T00:00:00"/>
    <b v="0"/>
    <x v="0"/>
    <x v="2"/>
  </r>
  <r>
    <s v="R0183"/>
    <s v="P025"/>
    <n v="5"/>
    <n v="29"/>
    <x v="1"/>
    <d v="2025-09-16T00:00:00"/>
    <b v="0"/>
    <x v="2"/>
    <x v="1"/>
  </r>
  <r>
    <s v="R0141"/>
    <s v="P011"/>
    <n v="5"/>
    <n v="46"/>
    <x v="1"/>
    <d v="2025-07-16T00:00:00"/>
    <b v="0"/>
    <x v="3"/>
    <x v="0"/>
  </r>
  <r>
    <s v="R0053"/>
    <s v="P034"/>
    <n v="3"/>
    <n v="49"/>
    <x v="0"/>
    <d v="2025-04-13T00:00:00"/>
    <b v="0"/>
    <x v="4"/>
    <x v="3"/>
  </r>
  <r>
    <s v="R0080"/>
    <s v="P035"/>
    <n v="1"/>
    <n v="40"/>
    <x v="0"/>
    <d v="2025-04-29T00:00:00"/>
    <b v="0"/>
    <x v="2"/>
    <x v="6"/>
  </r>
  <r>
    <s v="R0195"/>
    <s v="P035"/>
    <n v="4"/>
    <n v="40"/>
    <x v="0"/>
    <d v="2025-05-25T00:00:00"/>
    <b v="0"/>
    <x v="2"/>
    <x v="1"/>
  </r>
  <r>
    <s v="R0120"/>
    <s v="P021"/>
    <n v="1"/>
    <n v="40"/>
    <x v="1"/>
    <d v="2025-10-14T00:00:00"/>
    <b v="0"/>
    <x v="3"/>
    <x v="4"/>
  </r>
  <r>
    <s v="R0097"/>
    <s v="P032"/>
    <n v="4"/>
    <n v="134"/>
    <x v="1"/>
    <d v="2025-07-02T00:00:00"/>
    <b v="1"/>
    <x v="1"/>
    <x v="3"/>
  </r>
  <r>
    <s v="R0079"/>
    <s v="P035"/>
    <n v="2"/>
    <n v="36"/>
    <x v="0"/>
    <d v="2025-09-04T00:00:00"/>
    <b v="0"/>
    <x v="2"/>
    <x v="3"/>
  </r>
  <r>
    <s v="R0129"/>
    <s v="P002"/>
    <n v="3"/>
    <n v="62"/>
    <x v="1"/>
    <d v="2025-07-11T00:00:00"/>
    <b v="0"/>
    <x v="1"/>
    <x v="6"/>
  </r>
  <r>
    <s v="R0071"/>
    <s v="P046"/>
    <n v="3"/>
    <n v="35"/>
    <x v="1"/>
    <d v="2025-04-24T00:00:00"/>
    <b v="0"/>
    <x v="3"/>
    <x v="0"/>
  </r>
  <r>
    <s v="R0113"/>
    <s v="P060"/>
    <n v="3"/>
    <n v="29"/>
    <x v="0"/>
    <d v="2025-11-10T00:00:00"/>
    <b v="0"/>
    <x v="2"/>
    <x v="2"/>
  </r>
  <r>
    <s v="R0190"/>
    <s v="P019"/>
    <n v="3"/>
    <n v="36"/>
    <x v="0"/>
    <d v="2025-01-24T00:00:00"/>
    <b v="0"/>
    <x v="4"/>
    <x v="6"/>
  </r>
  <r>
    <s v="R0045"/>
    <s v="P050"/>
    <n v="5"/>
    <n v="62"/>
    <x v="1"/>
    <d v="2025-06-04T00:00:00"/>
    <b v="0"/>
    <x v="2"/>
    <x v="3"/>
  </r>
  <r>
    <s v="R0082"/>
    <s v="P055"/>
    <m/>
    <n v="25"/>
    <x v="0"/>
    <d v="2025-07-09T00:00:00"/>
    <b v="0"/>
    <x v="2"/>
    <x v="2"/>
  </r>
  <r>
    <s v="R0157"/>
    <s v="P054"/>
    <n v="2"/>
    <n v="23"/>
    <x v="0"/>
    <d v="2025-11-11T00:00:00"/>
    <b v="0"/>
    <x v="4"/>
    <x v="4"/>
  </r>
  <r>
    <s v="R0100"/>
    <s v="P026"/>
    <n v="5"/>
    <n v="24"/>
    <x v="1"/>
    <d v="2025-07-05T00:00:00"/>
    <b v="0"/>
    <x v="3"/>
    <x v="0"/>
  </r>
  <r>
    <s v="R0052"/>
    <s v="P043"/>
    <n v="1"/>
    <n v="30"/>
    <x v="0"/>
    <d v="2025-01-27T00:00:00"/>
    <b v="0"/>
    <x v="0"/>
    <x v="0"/>
  </r>
  <r>
    <s v="R0158"/>
    <s v="P001"/>
    <n v="2"/>
    <n v="28"/>
    <x v="0"/>
    <d v="2025-02-15T00:00:00"/>
    <b v="0"/>
    <x v="3"/>
    <x v="2"/>
  </r>
  <r>
    <s v="R0148"/>
    <s v="P012"/>
    <n v="5"/>
    <n v="34"/>
    <x v="1"/>
    <d v="2025-09-29T00:00:00"/>
    <b v="0"/>
    <x v="1"/>
    <x v="8"/>
  </r>
  <r>
    <s v="R0084"/>
    <s v="P044"/>
    <n v="5"/>
    <n v="18"/>
    <x v="0"/>
    <d v="2025-07-23T00:00:00"/>
    <b v="0"/>
    <x v="4"/>
    <x v="3"/>
  </r>
  <r>
    <s v="R0077"/>
    <s v="P042"/>
    <n v="5"/>
    <n v="34"/>
    <x v="1"/>
    <d v="2025-09-03T00:00:00"/>
    <b v="0"/>
    <x v="1"/>
    <x v="6"/>
  </r>
  <r>
    <s v="R0115"/>
    <s v="P003"/>
    <n v="4"/>
    <n v="43"/>
    <x v="1"/>
    <d v="2025-04-08T00:00:00"/>
    <b v="0"/>
    <x v="0"/>
    <x v="6"/>
  </r>
  <r>
    <s v="R0191"/>
    <s v="P016"/>
    <n v="5"/>
    <n v="38"/>
    <x v="0"/>
    <d v="2025-08-27T00:00:00"/>
    <b v="0"/>
    <x v="3"/>
    <x v="1"/>
  </r>
  <r>
    <s v="R0017"/>
    <s v="P007"/>
    <n v="2"/>
    <n v="26"/>
    <x v="0"/>
    <d v="2025-10-20T00:00:00"/>
    <b v="0"/>
    <x v="1"/>
    <x v="3"/>
  </r>
  <r>
    <s v="R0179"/>
    <s v="P021"/>
    <n v="2"/>
    <n v="63"/>
    <x v="1"/>
    <d v="2025-02-08T00:00:00"/>
    <b v="0"/>
    <x v="3"/>
    <x v="6"/>
  </r>
  <r>
    <s v="R0013"/>
    <s v="P015"/>
    <n v="5"/>
    <n v="82"/>
    <x v="1"/>
    <d v="2025-03-11T00:00:00"/>
    <b v="0"/>
    <x v="2"/>
    <x v="7"/>
  </r>
  <r>
    <s v="R0118"/>
    <s v="P058"/>
    <n v="4"/>
    <n v="27"/>
    <x v="1"/>
    <d v="2025-11-25T00:00:00"/>
    <b v="0"/>
    <x v="0"/>
    <x v="0"/>
  </r>
  <r>
    <s v="R0048"/>
    <s v="P003"/>
    <n v="2"/>
    <n v="14"/>
    <x v="0"/>
    <d v="2025-10-21T00:00:00"/>
    <b v="0"/>
    <x v="0"/>
    <x v="0"/>
  </r>
  <r>
    <s v="R0083"/>
    <s v="P004"/>
    <n v="2"/>
    <n v="19"/>
    <x v="0"/>
    <d v="2025-09-30T00:00:00"/>
    <b v="0"/>
    <x v="4"/>
    <x v="0"/>
  </r>
  <r>
    <s v="R0057"/>
    <s v="P019"/>
    <n v="2"/>
    <n v="43"/>
    <x v="0"/>
    <d v="2025-07-01T00:00:00"/>
    <b v="0"/>
    <x v="4"/>
    <x v="5"/>
  </r>
  <r>
    <s v="R0176"/>
    <s v="P010"/>
    <n v="5"/>
    <n v="59"/>
    <x v="1"/>
    <d v="2025-04-02T00:00:00"/>
    <b v="0"/>
    <x v="2"/>
    <x v="6"/>
  </r>
  <r>
    <s v="R0152"/>
    <s v="P032"/>
    <n v="1"/>
    <n v="68"/>
    <x v="1"/>
    <d v="2025-02-09T00:00:00"/>
    <b v="0"/>
    <x v="1"/>
    <x v="6"/>
  </r>
  <r>
    <s v="R0171"/>
    <s v="P031"/>
    <n v="2"/>
    <n v="21"/>
    <x v="1"/>
    <d v="2025-07-03T00:00:00"/>
    <b v="0"/>
    <x v="3"/>
    <x v="2"/>
  </r>
  <r>
    <s v="R0144"/>
    <s v="P060"/>
    <n v="4"/>
    <n v="23"/>
    <x v="1"/>
    <d v="2025-07-23T00:00:00"/>
    <b v="0"/>
    <x v="2"/>
    <x v="3"/>
  </r>
  <r>
    <s v="R0159"/>
    <s v="P028"/>
    <n v="3"/>
    <n v="119"/>
    <x v="1"/>
    <d v="2025-08-22T00:00:00"/>
    <b v="0"/>
    <x v="0"/>
    <x v="0"/>
  </r>
  <r>
    <s v="R0150"/>
    <s v="P055"/>
    <n v="4"/>
    <n v="19"/>
    <x v="0"/>
    <d v="2025-10-29T00:00:00"/>
    <b v="0"/>
    <x v="2"/>
    <x v="1"/>
  </r>
  <r>
    <s v="R0111"/>
    <s v="P039"/>
    <n v="3"/>
    <n v="29"/>
    <x v="0"/>
    <d v="2025-12-06T00:00:00"/>
    <b v="0"/>
    <x v="4"/>
    <x v="1"/>
  </r>
  <r>
    <s v="R0181"/>
    <s v="P024"/>
    <n v="4"/>
    <n v="46"/>
    <x v="1"/>
    <d v="2025-10-25T00:00:00"/>
    <b v="0"/>
    <x v="4"/>
    <x v="5"/>
  </r>
  <r>
    <s v="R0116"/>
    <s v="P054"/>
    <n v="4"/>
    <n v="25"/>
    <x v="0"/>
    <d v="2025-04-16T00:00:00"/>
    <b v="0"/>
    <x v="4"/>
    <x v="1"/>
  </r>
  <r>
    <s v="R0184"/>
    <s v="P034"/>
    <n v="4"/>
    <n v="50"/>
    <x v="1"/>
    <d v="2025-10-14T00:00:00"/>
    <b v="0"/>
    <x v="4"/>
    <x v="0"/>
  </r>
  <r>
    <s v="R0146"/>
    <s v="P045"/>
    <n v="4"/>
    <n v="19"/>
    <x v="0"/>
    <d v="2025-07-14T00:00:00"/>
    <b v="0"/>
    <x v="2"/>
    <x v="3"/>
  </r>
  <r>
    <s v="R0174"/>
    <s v="P049"/>
    <n v="4"/>
    <n v="22"/>
    <x v="1"/>
    <d v="2025-11-08T00:00:00"/>
    <b v="0"/>
    <x v="4"/>
    <x v="5"/>
  </r>
  <r>
    <s v="R0099"/>
    <s v="P058"/>
    <n v="4"/>
    <n v="52"/>
    <x v="1"/>
    <d v="2025-12-04T00:00:00"/>
    <b v="0"/>
    <x v="0"/>
    <x v="1"/>
  </r>
  <r>
    <s v="R0161"/>
    <s v="P050"/>
    <m/>
    <n v="24"/>
    <x v="1"/>
    <d v="2025-03-04T00:00:00"/>
    <b v="0"/>
    <x v="2"/>
    <x v="0"/>
  </r>
  <r>
    <s v="R0078"/>
    <s v="P014"/>
    <n v="3"/>
    <n v="52"/>
    <x v="0"/>
    <d v="2025-08-21T00:00:00"/>
    <b v="0"/>
    <x v="4"/>
    <x v="3"/>
  </r>
  <r>
    <s v="R0103"/>
    <s v="P055"/>
    <n v="1"/>
    <n v="20"/>
    <x v="0"/>
    <d v="2025-05-26T00:00:00"/>
    <b v="0"/>
    <x v="2"/>
    <x v="5"/>
  </r>
  <r>
    <s v="R0194"/>
    <s v="P004"/>
    <n v="4"/>
    <n v="26"/>
    <x v="0"/>
    <d v="2025-03-23T00:00:00"/>
    <b v="0"/>
    <x v="4"/>
    <x v="6"/>
  </r>
  <r>
    <s v="R0177"/>
    <s v="P019"/>
    <n v="4"/>
    <n v="12"/>
    <x v="1"/>
    <d v="2025-04-18T00:00:00"/>
    <b v="0"/>
    <x v="4"/>
    <x v="5"/>
  </r>
  <r>
    <s v="R0007"/>
    <s v="P019"/>
    <n v="1"/>
    <n v="39"/>
    <x v="0"/>
    <d v="2025-01-01T00:00:00"/>
    <b v="0"/>
    <x v="4"/>
    <x v="3"/>
  </r>
  <r>
    <s v="R0063"/>
    <s v="P020"/>
    <n v="5"/>
    <n v="34"/>
    <x v="1"/>
    <d v="2025-04-09T00:00:00"/>
    <b v="0"/>
    <x v="2"/>
    <x v="1"/>
  </r>
  <r>
    <s v="R0054"/>
    <s v="P034"/>
    <n v="4"/>
    <n v="21"/>
    <x v="0"/>
    <d v="2025-08-03T00:00:00"/>
    <b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6C08E4-3300-44C8-9A75-FD3C702A1B7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9">
    <pivotField showAll="0"/>
    <pivotField showAll="0"/>
    <pivotField dataField="1" showAll="0"/>
    <pivotField showAll="0"/>
    <pivotField showAll="0"/>
    <pivotField numFmtId="14"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ating" fld="2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0EA9D-697C-436F-9588-BA0BBA31B3A1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9"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rating" fld="2" subtotal="average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7682-45BB-4389-9EDA-E6A63973248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9"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10">
        <item x="8"/>
        <item x="0"/>
        <item x="3"/>
        <item x="6"/>
        <item x="1"/>
        <item x="2"/>
        <item x="4"/>
        <item x="5"/>
        <item x="7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ating" fld="2" subtotal="average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59A4854-AF0D-456B-BA44-9324DCD93D1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29698AA-02E2-4957-AF9B-CFCE2674F4A1}" autoFormatId="16" applyNumberFormats="0" applyBorderFormats="0" applyFontFormats="0" applyPatternFormats="0" applyAlignmentFormats="0" applyWidthHeightFormats="0">
  <queryTableRefresh nextId="7">
    <queryTableFields count="6">
      <queryTableField id="1" name="order_id" tableColumnId="1"/>
      <queryTableField id="2" name="review_id" tableColumnId="2"/>
      <queryTableField id="3" name="delivery_days" tableColumnId="3"/>
      <queryTableField id="4" name="discount_percent" tableColumnId="4"/>
      <queryTableField id="5" name="return_flag" tableColumnId="5"/>
      <queryTableField id="6" name="product_i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659189E7-9CF4-49CD-B117-4C92B7B40DC5}" autoFormatId="16" applyNumberFormats="0" applyBorderFormats="0" applyFontFormats="0" applyPatternFormats="0" applyAlignmentFormats="0" applyWidthHeightFormats="0">
  <queryTableRefresh nextId="5">
    <queryTableFields count="4">
      <queryTableField id="1" name="seller_id" tableColumnId="1"/>
      <queryTableField id="2" name="seller_name" tableColumnId="2"/>
      <queryTableField id="3" name="region" tableColumnId="3"/>
      <queryTableField id="4" name="tenure_year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05D9462-9720-44AB-BEA0-A4400C8D60A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501542F-89D7-4B90-9979-5CA49C250BFE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review_id" tableColumnId="1"/>
      <queryTableField id="2" name="product_id" tableColumnId="2"/>
      <queryTableField id="3" name="rating" tableColumnId="3"/>
      <queryTableField id="4" name="review_length" tableColumnId="4"/>
      <queryTableField id="5" name="verified" tableColumnId="5"/>
      <queryTableField id="6" name="review_date" tableColumnId="6"/>
      <queryTableField id="7" name="long_review_flag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98D67-5E52-40BB-8E46-1A0E6ABB836A}" name="Support" displayName="Support" ref="A1:E72" tableType="queryTable" totalsRowShown="0">
  <autoFilter ref="A1:E72" xr:uid="{CBB98D67-5E52-40BB-8E46-1A0E6ABB836A}"/>
  <tableColumns count="5">
    <tableColumn id="1" xr3:uid="{4F1D1881-15B8-484A-9E92-7918B483DF27}" uniqueName="1" name="Column1" queryTableFieldId="1" dataDxfId="9"/>
    <tableColumn id="2" xr3:uid="{87C221D1-17EA-4438-9876-F24829575C3E}" uniqueName="2" name="Column2" queryTableFieldId="2" dataDxfId="8"/>
    <tableColumn id="3" xr3:uid="{E6F087D8-F8F5-499C-AF91-7541CC70CE30}" uniqueName="3" name="Column3" queryTableFieldId="3" dataDxfId="7"/>
    <tableColumn id="4" xr3:uid="{5D85218A-0E70-4C36-8970-49826CC42F63}" uniqueName="4" name="Column4" queryTableFieldId="4" dataDxfId="6"/>
    <tableColumn id="5" xr3:uid="{BF817737-6616-40DF-8437-3468B7BD80C2}" uniqueName="5" name="Column5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2AF7CD-F1E5-449F-84A7-A25970712D29}" name="Orders" displayName="Orders" ref="A1:F196" tableType="queryTable" totalsRowShown="0">
  <autoFilter ref="A1:F196" xr:uid="{562AF7CD-F1E5-449F-84A7-A25970712D29}"/>
  <tableColumns count="6">
    <tableColumn id="1" xr3:uid="{4410938F-EDA5-44DD-A677-9FC8E58B50B7}" uniqueName="1" name="order_id" queryTableFieldId="1" dataDxfId="12"/>
    <tableColumn id="2" xr3:uid="{159C6609-E6DF-48E9-B6B4-7CD0CCD94F69}" uniqueName="2" name="review_id" queryTableFieldId="2" dataDxfId="11"/>
    <tableColumn id="3" xr3:uid="{47488760-0ACB-4C90-8E44-1727B824DD1F}" uniqueName="3" name="delivery_days" queryTableFieldId="3"/>
    <tableColumn id="4" xr3:uid="{5B9BD585-256C-437E-9F80-4FE80A5963D3}" uniqueName="4" name="discount_percent" queryTableFieldId="4"/>
    <tableColumn id="5" xr3:uid="{5D05A7CC-2F7B-4A70-90D0-9176D8804637}" uniqueName="5" name="return_flag" queryTableFieldId="5"/>
    <tableColumn id="6" xr3:uid="{3DCAEB8E-F9CE-4BA6-B4F9-8D55C0E566A7}" uniqueName="6" name="product_id" queryTableFieldId="6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4F7E07-EE6E-4975-9E65-166B3605C329}" name="Sellers" displayName="Sellers" ref="A1:D16" tableType="queryTable" totalsRowShown="0">
  <autoFilter ref="A1:D16" xr:uid="{B94F7E07-EE6E-4975-9E65-166B3605C329}"/>
  <tableColumns count="4">
    <tableColumn id="1" xr3:uid="{B2D573A1-8F4B-4425-88EE-714711C870E0}" uniqueName="1" name="seller_id" queryTableFieldId="1" dataDxfId="15"/>
    <tableColumn id="2" xr3:uid="{5BD89060-8B4F-443B-82E2-2CFF10B07706}" uniqueName="2" name="seller_name" queryTableFieldId="2" dataDxfId="14"/>
    <tableColumn id="3" xr3:uid="{D5E4238C-BDE4-4DCD-B889-A8270D656117}" uniqueName="3" name="region" queryTableFieldId="3" dataDxfId="13"/>
    <tableColumn id="4" xr3:uid="{954341AA-0DC1-4CFB-B031-344E5A4650E5}" uniqueName="4" name="tenure_year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90F039-672A-4AD9-9F39-2EBE106E5BB0}" name="Products" displayName="Products" ref="A1:E62" tableType="queryTable" totalsRowShown="0">
  <autoFilter ref="A1:E62" xr:uid="{6290F039-672A-4AD9-9F39-2EBE106E5BB0}"/>
  <tableColumns count="5">
    <tableColumn id="1" xr3:uid="{6667EE31-D317-4FC8-A640-766151FC75E0}" uniqueName="1" name="Column1" queryTableFieldId="1" dataDxfId="20"/>
    <tableColumn id="2" xr3:uid="{29101885-0FDB-45FA-A24F-686F14B953BA}" uniqueName="2" name="Column2" queryTableFieldId="2" dataDxfId="19"/>
    <tableColumn id="3" xr3:uid="{EC9E66F6-43DE-43E7-A656-EDCF50A3B0B7}" uniqueName="3" name="Column3" queryTableFieldId="3" dataDxfId="18"/>
    <tableColumn id="4" xr3:uid="{E6D8927D-CA39-4FEE-9FF2-A9763F1BA3B5}" uniqueName="4" name="Column4" queryTableFieldId="4" dataDxfId="17"/>
    <tableColumn id="5" xr3:uid="{C0FB3E9A-3009-405C-B2AA-FC9D724D2195}" uniqueName="5" name="Column5" queryTableFieldId="5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AFC5D-BD3A-40C8-843F-1FDD45D08B5A}" name="Reviews" displayName="Reviews" ref="A1:I196" tableType="queryTable" totalsRowShown="0">
  <autoFilter ref="A1:I196" xr:uid="{794AFC5D-BD3A-40C8-843F-1FDD45D08B5A}"/>
  <tableColumns count="9">
    <tableColumn id="1" xr3:uid="{0046B864-AE84-4916-9130-80E405954EA7}" uniqueName="1" name="review_id" queryTableFieldId="1" dataDxfId="4"/>
    <tableColumn id="2" xr3:uid="{852018FE-35AA-4C6C-91A8-994DF6AF5603}" uniqueName="2" name="product_id" queryTableFieldId="2" dataDxfId="3"/>
    <tableColumn id="3" xr3:uid="{81E8CE36-30E6-4AA4-97B4-ACF46EBC28CC}" uniqueName="3" name="rating" queryTableFieldId="3"/>
    <tableColumn id="4" xr3:uid="{C2BD8714-35F7-4EED-B1B5-C1C15CDEDC37}" uniqueName="4" name="review_length" queryTableFieldId="4"/>
    <tableColumn id="5" xr3:uid="{829A2E8D-CCB7-439B-818D-434CA853A122}" uniqueName="5" name="verified" queryTableFieldId="5"/>
    <tableColumn id="6" xr3:uid="{870D3E86-4F38-487B-9745-895CDB69A678}" uniqueName="6" name="review_date" queryTableFieldId="6" dataDxfId="2"/>
    <tableColumn id="7" xr3:uid="{88B45A31-10BA-4FAB-931C-849805E6DA08}" uniqueName="7" name="long_review_flag" queryTableFieldId="7"/>
    <tableColumn id="8" xr3:uid="{7E5BCEB4-7B49-47CB-B5F5-E8411ECE7047}" uniqueName="8" name="category" queryTableFieldId="8" dataDxfId="1">
      <calculatedColumnFormula>_xlfn.XLOOKUP(B2,Products!A:A,Products!B:B,"Not Found")</calculatedColumnFormula>
    </tableColumn>
    <tableColumn id="9" xr3:uid="{B92DC67F-C026-4F4C-960C-5B790CA8ABA3}" uniqueName="9" name="delivery_days" queryTableFieldId="9" dataDxfId="0">
      <calculatedColumnFormula>_xlfn.XLOOKUP(A2,Orders!B:B,Orders!C:C,"Not Found")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245A-7DE6-4C62-91CB-F36727505AE4}">
  <dimension ref="A1:E72"/>
  <sheetViews>
    <sheetView workbookViewId="0">
      <selection activeCell="M17" sqref="M17"/>
    </sheetView>
  </sheetViews>
  <sheetFormatPr defaultRowHeight="14.4" x14ac:dyDescent="0.3"/>
  <cols>
    <col min="1" max="3" width="10.6640625" bestFit="1" customWidth="1"/>
    <col min="4" max="4" width="16.77734375" bestFit="1" customWidth="1"/>
    <col min="5" max="5" width="10.6640625" bestFit="1" customWidth="1"/>
  </cols>
  <sheetData>
    <row r="1" spans="1:5" x14ac:dyDescent="0.3">
      <c r="A1" t="s">
        <v>261</v>
      </c>
      <c r="B1" t="s">
        <v>262</v>
      </c>
      <c r="C1" t="s">
        <v>263</v>
      </c>
      <c r="D1" t="s">
        <v>264</v>
      </c>
      <c r="E1" t="s">
        <v>265</v>
      </c>
    </row>
    <row r="2" spans="1:5" x14ac:dyDescent="0.3">
      <c r="A2" s="1" t="s">
        <v>529</v>
      </c>
      <c r="B2" s="1" t="s">
        <v>0</v>
      </c>
      <c r="C2" s="1" t="s">
        <v>1</v>
      </c>
      <c r="D2" s="1" t="s">
        <v>530</v>
      </c>
      <c r="E2" s="1" t="s">
        <v>531</v>
      </c>
    </row>
    <row r="3" spans="1:5" x14ac:dyDescent="0.3">
      <c r="A3" s="1" t="s">
        <v>532</v>
      </c>
      <c r="B3" s="1" t="s">
        <v>113</v>
      </c>
      <c r="C3" s="1" t="s">
        <v>114</v>
      </c>
      <c r="D3" s="1" t="s">
        <v>533</v>
      </c>
      <c r="E3" s="1" t="s">
        <v>534</v>
      </c>
    </row>
    <row r="4" spans="1:5" x14ac:dyDescent="0.3">
      <c r="A4" s="1" t="s">
        <v>535</v>
      </c>
      <c r="B4" s="1" t="s">
        <v>193</v>
      </c>
      <c r="C4" s="1" t="s">
        <v>29</v>
      </c>
      <c r="D4" s="1" t="s">
        <v>536</v>
      </c>
      <c r="E4" s="1" t="s">
        <v>534</v>
      </c>
    </row>
    <row r="5" spans="1:5" x14ac:dyDescent="0.3">
      <c r="A5" s="1" t="s">
        <v>537</v>
      </c>
      <c r="B5" s="1" t="s">
        <v>61</v>
      </c>
      <c r="C5" s="1" t="s">
        <v>35</v>
      </c>
      <c r="D5" s="1" t="s">
        <v>536</v>
      </c>
      <c r="E5" s="1" t="s">
        <v>538</v>
      </c>
    </row>
    <row r="6" spans="1:5" x14ac:dyDescent="0.3">
      <c r="A6" s="1" t="s">
        <v>539</v>
      </c>
      <c r="B6" s="1" t="s">
        <v>53</v>
      </c>
      <c r="C6" s="1" t="s">
        <v>35</v>
      </c>
      <c r="D6" s="1" t="s">
        <v>533</v>
      </c>
      <c r="E6" s="1" t="s">
        <v>540</v>
      </c>
    </row>
    <row r="7" spans="1:5" x14ac:dyDescent="0.3">
      <c r="A7" s="1" t="s">
        <v>541</v>
      </c>
      <c r="B7" s="1" t="s">
        <v>226</v>
      </c>
      <c r="C7" s="1" t="s">
        <v>106</v>
      </c>
      <c r="D7" s="1" t="s">
        <v>542</v>
      </c>
      <c r="E7" s="1" t="s">
        <v>534</v>
      </c>
    </row>
    <row r="8" spans="1:5" x14ac:dyDescent="0.3">
      <c r="A8" s="1" t="s">
        <v>543</v>
      </c>
      <c r="B8" s="1" t="s">
        <v>237</v>
      </c>
      <c r="C8" s="1" t="s">
        <v>151</v>
      </c>
      <c r="D8" s="1" t="s">
        <v>544</v>
      </c>
      <c r="E8" s="1" t="s">
        <v>534</v>
      </c>
    </row>
    <row r="9" spans="1:5" x14ac:dyDescent="0.3">
      <c r="A9" s="1" t="s">
        <v>545</v>
      </c>
      <c r="B9" s="1" t="s">
        <v>142</v>
      </c>
      <c r="C9" s="1" t="s">
        <v>143</v>
      </c>
      <c r="D9" s="1" t="s">
        <v>544</v>
      </c>
      <c r="E9" s="1" t="s">
        <v>534</v>
      </c>
    </row>
    <row r="10" spans="1:5" x14ac:dyDescent="0.3">
      <c r="A10" s="1" t="s">
        <v>546</v>
      </c>
      <c r="B10" s="1" t="s">
        <v>132</v>
      </c>
      <c r="C10" s="1" t="s">
        <v>106</v>
      </c>
      <c r="D10" s="1" t="s">
        <v>542</v>
      </c>
      <c r="E10" s="1" t="s">
        <v>534</v>
      </c>
    </row>
    <row r="11" spans="1:5" x14ac:dyDescent="0.3">
      <c r="A11" s="1" t="s">
        <v>547</v>
      </c>
      <c r="B11" s="1" t="s">
        <v>46</v>
      </c>
      <c r="C11" s="1" t="s">
        <v>47</v>
      </c>
      <c r="D11" s="1" t="s">
        <v>533</v>
      </c>
      <c r="E11" s="1" t="s">
        <v>534</v>
      </c>
    </row>
    <row r="12" spans="1:5" x14ac:dyDescent="0.3">
      <c r="A12" s="1" t="s">
        <v>548</v>
      </c>
      <c r="B12" s="1" t="s">
        <v>121</v>
      </c>
      <c r="C12" s="1" t="s">
        <v>80</v>
      </c>
      <c r="D12" s="1" t="s">
        <v>536</v>
      </c>
      <c r="E12" s="1" t="s">
        <v>534</v>
      </c>
    </row>
    <row r="13" spans="1:5" x14ac:dyDescent="0.3">
      <c r="A13" s="1" t="s">
        <v>549</v>
      </c>
      <c r="B13" s="1" t="s">
        <v>250</v>
      </c>
      <c r="C13" s="1" t="s">
        <v>33</v>
      </c>
      <c r="D13" s="1" t="s">
        <v>536</v>
      </c>
      <c r="E13" s="1" t="s">
        <v>534</v>
      </c>
    </row>
    <row r="14" spans="1:5" x14ac:dyDescent="0.3">
      <c r="A14" s="1" t="s">
        <v>550</v>
      </c>
      <c r="B14" s="1" t="s">
        <v>136</v>
      </c>
      <c r="C14" s="1" t="s">
        <v>84</v>
      </c>
      <c r="D14" s="1" t="s">
        <v>536</v>
      </c>
      <c r="E14" s="1" t="s">
        <v>540</v>
      </c>
    </row>
    <row r="15" spans="1:5" x14ac:dyDescent="0.3">
      <c r="A15" s="1" t="s">
        <v>551</v>
      </c>
      <c r="B15" s="1" t="s">
        <v>154</v>
      </c>
      <c r="C15" s="1" t="s">
        <v>80</v>
      </c>
      <c r="D15" s="1" t="s">
        <v>533</v>
      </c>
      <c r="E15" s="1" t="s">
        <v>534</v>
      </c>
    </row>
    <row r="16" spans="1:5" x14ac:dyDescent="0.3">
      <c r="A16" s="1" t="s">
        <v>552</v>
      </c>
      <c r="B16" s="1" t="s">
        <v>244</v>
      </c>
      <c r="C16" s="1" t="s">
        <v>22</v>
      </c>
      <c r="D16" s="1" t="s">
        <v>553</v>
      </c>
      <c r="E16" s="1" t="s">
        <v>534</v>
      </c>
    </row>
    <row r="17" spans="1:5" x14ac:dyDescent="0.3">
      <c r="A17" s="1" t="s">
        <v>554</v>
      </c>
      <c r="B17" s="1" t="s">
        <v>227</v>
      </c>
      <c r="C17" s="1" t="s">
        <v>87</v>
      </c>
      <c r="D17" s="1" t="s">
        <v>553</v>
      </c>
      <c r="E17" s="1" t="s">
        <v>538</v>
      </c>
    </row>
    <row r="18" spans="1:5" x14ac:dyDescent="0.3">
      <c r="A18" s="1" t="s">
        <v>555</v>
      </c>
      <c r="B18" s="1" t="s">
        <v>234</v>
      </c>
      <c r="C18" s="1" t="s">
        <v>235</v>
      </c>
      <c r="D18" s="1" t="s">
        <v>536</v>
      </c>
      <c r="E18" s="1" t="s">
        <v>534</v>
      </c>
    </row>
    <row r="19" spans="1:5" x14ac:dyDescent="0.3">
      <c r="A19" s="1" t="s">
        <v>556</v>
      </c>
      <c r="B19" s="1" t="s">
        <v>148</v>
      </c>
      <c r="C19" s="1" t="s">
        <v>10</v>
      </c>
      <c r="D19" s="1" t="s">
        <v>553</v>
      </c>
      <c r="E19" s="1" t="s">
        <v>534</v>
      </c>
    </row>
    <row r="20" spans="1:5" x14ac:dyDescent="0.3">
      <c r="A20" s="1" t="s">
        <v>557</v>
      </c>
      <c r="B20" s="1" t="s">
        <v>191</v>
      </c>
      <c r="C20" s="1" t="s">
        <v>71</v>
      </c>
      <c r="D20" s="1" t="s">
        <v>544</v>
      </c>
      <c r="E20" s="1" t="s">
        <v>534</v>
      </c>
    </row>
    <row r="21" spans="1:5" x14ac:dyDescent="0.3">
      <c r="A21" s="1" t="s">
        <v>558</v>
      </c>
      <c r="B21" s="1" t="s">
        <v>192</v>
      </c>
      <c r="C21" s="1" t="s">
        <v>31</v>
      </c>
      <c r="D21" s="1" t="s">
        <v>544</v>
      </c>
      <c r="E21" s="1" t="s">
        <v>534</v>
      </c>
    </row>
    <row r="22" spans="1:5" x14ac:dyDescent="0.3">
      <c r="A22" s="1" t="s">
        <v>559</v>
      </c>
      <c r="B22" s="1" t="s">
        <v>207</v>
      </c>
      <c r="C22" s="1" t="s">
        <v>68</v>
      </c>
      <c r="D22" s="1" t="s">
        <v>542</v>
      </c>
      <c r="E22" s="1" t="s">
        <v>534</v>
      </c>
    </row>
    <row r="23" spans="1:5" x14ac:dyDescent="0.3">
      <c r="A23" s="1" t="s">
        <v>560</v>
      </c>
      <c r="B23" s="1" t="s">
        <v>146</v>
      </c>
      <c r="C23" s="1" t="s">
        <v>123</v>
      </c>
      <c r="D23" s="1" t="s">
        <v>533</v>
      </c>
      <c r="E23" s="1" t="s">
        <v>534</v>
      </c>
    </row>
    <row r="24" spans="1:5" x14ac:dyDescent="0.3">
      <c r="A24" s="1" t="s">
        <v>561</v>
      </c>
      <c r="B24" s="1" t="s">
        <v>228</v>
      </c>
      <c r="C24" s="1" t="s">
        <v>82</v>
      </c>
      <c r="D24" s="1" t="s">
        <v>533</v>
      </c>
      <c r="E24" s="1" t="s">
        <v>534</v>
      </c>
    </row>
    <row r="25" spans="1:5" x14ac:dyDescent="0.3">
      <c r="A25" s="1" t="s">
        <v>562</v>
      </c>
      <c r="B25" s="1" t="s">
        <v>230</v>
      </c>
      <c r="C25" s="1" t="s">
        <v>231</v>
      </c>
      <c r="D25" s="1" t="s">
        <v>542</v>
      </c>
      <c r="E25" s="1" t="s">
        <v>534</v>
      </c>
    </row>
    <row r="26" spans="1:5" x14ac:dyDescent="0.3">
      <c r="A26" s="1" t="s">
        <v>563</v>
      </c>
      <c r="B26" s="1" t="s">
        <v>139</v>
      </c>
      <c r="C26" s="1" t="s">
        <v>119</v>
      </c>
      <c r="D26" s="1" t="s">
        <v>544</v>
      </c>
      <c r="E26" s="1" t="s">
        <v>540</v>
      </c>
    </row>
    <row r="27" spans="1:5" x14ac:dyDescent="0.3">
      <c r="A27" s="1" t="s">
        <v>564</v>
      </c>
      <c r="B27" s="1" t="s">
        <v>169</v>
      </c>
      <c r="C27" s="1" t="s">
        <v>80</v>
      </c>
      <c r="D27" s="1" t="s">
        <v>533</v>
      </c>
      <c r="E27" s="1" t="s">
        <v>534</v>
      </c>
    </row>
    <row r="28" spans="1:5" x14ac:dyDescent="0.3">
      <c r="A28" s="1" t="s">
        <v>565</v>
      </c>
      <c r="B28" s="1" t="s">
        <v>248</v>
      </c>
      <c r="C28" s="1" t="s">
        <v>49</v>
      </c>
      <c r="D28" s="1" t="s">
        <v>536</v>
      </c>
      <c r="E28" s="1" t="s">
        <v>534</v>
      </c>
    </row>
    <row r="29" spans="1:5" x14ac:dyDescent="0.3">
      <c r="A29" s="1" t="s">
        <v>566</v>
      </c>
      <c r="B29" s="1" t="s">
        <v>247</v>
      </c>
      <c r="C29" s="1" t="s">
        <v>39</v>
      </c>
      <c r="D29" s="1" t="s">
        <v>536</v>
      </c>
      <c r="E29" s="1" t="s">
        <v>534</v>
      </c>
    </row>
    <row r="30" spans="1:5" x14ac:dyDescent="0.3">
      <c r="A30" s="1" t="s">
        <v>567</v>
      </c>
      <c r="B30" s="1" t="s">
        <v>187</v>
      </c>
      <c r="C30" s="1" t="s">
        <v>58</v>
      </c>
      <c r="D30" s="1" t="s">
        <v>544</v>
      </c>
      <c r="E30" s="1" t="s">
        <v>534</v>
      </c>
    </row>
    <row r="31" spans="1:5" x14ac:dyDescent="0.3">
      <c r="A31" s="1" t="s">
        <v>568</v>
      </c>
      <c r="B31" s="1" t="s">
        <v>89</v>
      </c>
      <c r="C31" s="1" t="s">
        <v>90</v>
      </c>
      <c r="D31" s="1" t="s">
        <v>544</v>
      </c>
      <c r="E31" s="1" t="s">
        <v>534</v>
      </c>
    </row>
    <row r="32" spans="1:5" x14ac:dyDescent="0.3">
      <c r="A32" s="1" t="s">
        <v>569</v>
      </c>
      <c r="B32" s="1" t="s">
        <v>253</v>
      </c>
      <c r="C32" s="1" t="s">
        <v>73</v>
      </c>
      <c r="D32" s="1" t="s">
        <v>536</v>
      </c>
      <c r="E32" s="1" t="s">
        <v>534</v>
      </c>
    </row>
    <row r="33" spans="1:5" x14ac:dyDescent="0.3">
      <c r="A33" s="1" t="s">
        <v>570</v>
      </c>
      <c r="B33" s="1" t="s">
        <v>162</v>
      </c>
      <c r="C33" s="1" t="s">
        <v>49</v>
      </c>
      <c r="D33" s="1" t="s">
        <v>553</v>
      </c>
      <c r="E33" s="1" t="s">
        <v>534</v>
      </c>
    </row>
    <row r="34" spans="1:5" x14ac:dyDescent="0.3">
      <c r="A34" s="1" t="s">
        <v>571</v>
      </c>
      <c r="B34" s="1" t="s">
        <v>9</v>
      </c>
      <c r="C34" s="1" t="s">
        <v>10</v>
      </c>
      <c r="D34" s="1" t="s">
        <v>553</v>
      </c>
      <c r="E34" s="1" t="s">
        <v>540</v>
      </c>
    </row>
    <row r="35" spans="1:5" x14ac:dyDescent="0.3">
      <c r="A35" s="1" t="s">
        <v>572</v>
      </c>
      <c r="B35" s="1" t="s">
        <v>92</v>
      </c>
      <c r="C35" s="1" t="s">
        <v>39</v>
      </c>
      <c r="D35" s="1" t="s">
        <v>553</v>
      </c>
      <c r="E35" s="1" t="s">
        <v>534</v>
      </c>
    </row>
    <row r="36" spans="1:5" x14ac:dyDescent="0.3">
      <c r="A36" s="1" t="s">
        <v>573</v>
      </c>
      <c r="B36" s="1" t="s">
        <v>54</v>
      </c>
      <c r="C36" s="1" t="s">
        <v>47</v>
      </c>
      <c r="D36" s="1" t="s">
        <v>542</v>
      </c>
      <c r="E36" s="1" t="s">
        <v>534</v>
      </c>
    </row>
    <row r="37" spans="1:5" x14ac:dyDescent="0.3">
      <c r="A37" s="1" t="s">
        <v>574</v>
      </c>
      <c r="B37" s="1" t="s">
        <v>45</v>
      </c>
      <c r="C37" s="1" t="s">
        <v>39</v>
      </c>
      <c r="D37" s="1" t="s">
        <v>536</v>
      </c>
      <c r="E37" s="1" t="s">
        <v>534</v>
      </c>
    </row>
    <row r="38" spans="1:5" x14ac:dyDescent="0.3">
      <c r="A38" s="1" t="s">
        <v>575</v>
      </c>
      <c r="B38" s="1" t="s">
        <v>173</v>
      </c>
      <c r="C38" s="1" t="s">
        <v>71</v>
      </c>
      <c r="D38" s="1" t="s">
        <v>553</v>
      </c>
      <c r="E38" s="1" t="s">
        <v>538</v>
      </c>
    </row>
    <row r="39" spans="1:5" x14ac:dyDescent="0.3">
      <c r="A39" s="1" t="s">
        <v>576</v>
      </c>
      <c r="B39" s="1" t="s">
        <v>107</v>
      </c>
      <c r="C39" s="1" t="s">
        <v>84</v>
      </c>
      <c r="D39" s="1" t="s">
        <v>536</v>
      </c>
      <c r="E39" s="1" t="s">
        <v>534</v>
      </c>
    </row>
    <row r="40" spans="1:5" x14ac:dyDescent="0.3">
      <c r="A40" s="1" t="s">
        <v>577</v>
      </c>
      <c r="B40" s="1" t="s">
        <v>163</v>
      </c>
      <c r="C40" s="1" t="s">
        <v>49</v>
      </c>
      <c r="D40" s="1" t="s">
        <v>536</v>
      </c>
      <c r="E40" s="1" t="s">
        <v>540</v>
      </c>
    </row>
    <row r="41" spans="1:5" x14ac:dyDescent="0.3">
      <c r="A41" s="1" t="s">
        <v>578</v>
      </c>
      <c r="B41" s="1" t="s">
        <v>17</v>
      </c>
      <c r="C41" s="1" t="s">
        <v>18</v>
      </c>
      <c r="D41" s="1" t="s">
        <v>544</v>
      </c>
      <c r="E41" s="1" t="s">
        <v>534</v>
      </c>
    </row>
    <row r="42" spans="1:5" x14ac:dyDescent="0.3">
      <c r="A42" s="1" t="s">
        <v>579</v>
      </c>
      <c r="B42" s="1" t="s">
        <v>164</v>
      </c>
      <c r="C42" s="1" t="s">
        <v>16</v>
      </c>
      <c r="D42" s="1" t="s">
        <v>542</v>
      </c>
      <c r="E42" s="1" t="s">
        <v>534</v>
      </c>
    </row>
    <row r="43" spans="1:5" x14ac:dyDescent="0.3">
      <c r="A43" s="1" t="s">
        <v>580</v>
      </c>
      <c r="B43" s="1" t="s">
        <v>79</v>
      </c>
      <c r="C43" s="1" t="s">
        <v>80</v>
      </c>
      <c r="D43" s="1" t="s">
        <v>553</v>
      </c>
      <c r="E43" s="1" t="s">
        <v>540</v>
      </c>
    </row>
    <row r="44" spans="1:5" x14ac:dyDescent="0.3">
      <c r="A44" s="1" t="s">
        <v>581</v>
      </c>
      <c r="B44" s="1" t="s">
        <v>112</v>
      </c>
      <c r="C44" s="1" t="s">
        <v>56</v>
      </c>
      <c r="D44" s="1" t="s">
        <v>553</v>
      </c>
      <c r="E44" s="1" t="s">
        <v>534</v>
      </c>
    </row>
    <row r="45" spans="1:5" x14ac:dyDescent="0.3">
      <c r="A45" s="1" t="s">
        <v>582</v>
      </c>
      <c r="B45" s="1" t="s">
        <v>254</v>
      </c>
      <c r="C45" s="1" t="s">
        <v>31</v>
      </c>
      <c r="D45" s="1" t="s">
        <v>542</v>
      </c>
      <c r="E45" s="1" t="s">
        <v>534</v>
      </c>
    </row>
    <row r="46" spans="1:5" x14ac:dyDescent="0.3">
      <c r="A46" s="1" t="s">
        <v>583</v>
      </c>
      <c r="B46" s="1" t="s">
        <v>243</v>
      </c>
      <c r="C46" s="1" t="s">
        <v>218</v>
      </c>
      <c r="D46" s="1" t="s">
        <v>542</v>
      </c>
      <c r="E46" s="1" t="s">
        <v>540</v>
      </c>
    </row>
    <row r="47" spans="1:5" x14ac:dyDescent="0.3">
      <c r="A47" s="1" t="s">
        <v>584</v>
      </c>
      <c r="B47" s="1" t="s">
        <v>209</v>
      </c>
      <c r="C47" s="1" t="s">
        <v>104</v>
      </c>
      <c r="D47" s="1" t="s">
        <v>553</v>
      </c>
      <c r="E47" s="1" t="s">
        <v>534</v>
      </c>
    </row>
    <row r="48" spans="1:5" x14ac:dyDescent="0.3">
      <c r="A48" s="1" t="s">
        <v>585</v>
      </c>
      <c r="B48" s="1" t="s">
        <v>255</v>
      </c>
      <c r="C48" s="1" t="s">
        <v>25</v>
      </c>
      <c r="D48" s="1" t="s">
        <v>542</v>
      </c>
      <c r="E48" s="1" t="s">
        <v>534</v>
      </c>
    </row>
    <row r="49" spans="1:5" x14ac:dyDescent="0.3">
      <c r="A49" s="1" t="s">
        <v>586</v>
      </c>
      <c r="B49" s="1" t="s">
        <v>34</v>
      </c>
      <c r="C49" s="1" t="s">
        <v>35</v>
      </c>
      <c r="D49" s="1" t="s">
        <v>544</v>
      </c>
      <c r="E49" s="1" t="s">
        <v>538</v>
      </c>
    </row>
    <row r="50" spans="1:5" x14ac:dyDescent="0.3">
      <c r="A50" s="1" t="s">
        <v>587</v>
      </c>
      <c r="B50" s="1" t="s">
        <v>252</v>
      </c>
      <c r="C50" s="1" t="s">
        <v>94</v>
      </c>
      <c r="D50" s="1" t="s">
        <v>553</v>
      </c>
      <c r="E50" s="1" t="s">
        <v>540</v>
      </c>
    </row>
    <row r="51" spans="1:5" x14ac:dyDescent="0.3">
      <c r="A51" s="1" t="s">
        <v>588</v>
      </c>
      <c r="B51" s="1" t="s">
        <v>62</v>
      </c>
      <c r="C51" s="1" t="s">
        <v>63</v>
      </c>
      <c r="D51" s="1" t="s">
        <v>553</v>
      </c>
      <c r="E51" s="1" t="s">
        <v>538</v>
      </c>
    </row>
    <row r="52" spans="1:5" x14ac:dyDescent="0.3">
      <c r="A52" s="1" t="s">
        <v>589</v>
      </c>
      <c r="B52" s="1" t="s">
        <v>188</v>
      </c>
      <c r="C52" s="1" t="s">
        <v>189</v>
      </c>
      <c r="D52" s="1" t="s">
        <v>544</v>
      </c>
      <c r="E52" s="1" t="s">
        <v>540</v>
      </c>
    </row>
    <row r="53" spans="1:5" x14ac:dyDescent="0.3">
      <c r="A53" s="1" t="s">
        <v>590</v>
      </c>
      <c r="B53" s="1" t="s">
        <v>201</v>
      </c>
      <c r="C53" s="1" t="s">
        <v>84</v>
      </c>
      <c r="D53" s="1" t="s">
        <v>544</v>
      </c>
      <c r="E53" s="1" t="s">
        <v>534</v>
      </c>
    </row>
    <row r="54" spans="1:5" x14ac:dyDescent="0.3">
      <c r="A54" s="1" t="s">
        <v>591</v>
      </c>
      <c r="B54" s="1" t="s">
        <v>198</v>
      </c>
      <c r="C54" s="1" t="s">
        <v>33</v>
      </c>
      <c r="D54" s="1" t="s">
        <v>544</v>
      </c>
      <c r="E54" s="1" t="s">
        <v>534</v>
      </c>
    </row>
    <row r="55" spans="1:5" x14ac:dyDescent="0.3">
      <c r="A55" s="1" t="s">
        <v>592</v>
      </c>
      <c r="B55" s="1" t="s">
        <v>11</v>
      </c>
      <c r="C55" s="1" t="s">
        <v>12</v>
      </c>
      <c r="D55" s="1" t="s">
        <v>536</v>
      </c>
      <c r="E55" s="1" t="s">
        <v>534</v>
      </c>
    </row>
    <row r="56" spans="1:5" x14ac:dyDescent="0.3">
      <c r="A56" s="1" t="s">
        <v>593</v>
      </c>
      <c r="B56" s="1" t="s">
        <v>26</v>
      </c>
      <c r="C56" s="1" t="s">
        <v>27</v>
      </c>
      <c r="D56" s="1" t="s">
        <v>553</v>
      </c>
      <c r="E56" s="1" t="s">
        <v>534</v>
      </c>
    </row>
    <row r="57" spans="1:5" x14ac:dyDescent="0.3">
      <c r="A57" s="1" t="s">
        <v>594</v>
      </c>
      <c r="B57" s="1" t="s">
        <v>147</v>
      </c>
      <c r="C57" s="1" t="s">
        <v>25</v>
      </c>
      <c r="D57" s="1" t="s">
        <v>544</v>
      </c>
      <c r="E57" s="1" t="s">
        <v>534</v>
      </c>
    </row>
    <row r="58" spans="1:5" x14ac:dyDescent="0.3">
      <c r="A58" s="1" t="s">
        <v>595</v>
      </c>
      <c r="B58" s="1" t="s">
        <v>81</v>
      </c>
      <c r="C58" s="1" t="s">
        <v>82</v>
      </c>
      <c r="D58" s="1" t="s">
        <v>536</v>
      </c>
      <c r="E58" s="1" t="s">
        <v>534</v>
      </c>
    </row>
    <row r="59" spans="1:5" x14ac:dyDescent="0.3">
      <c r="A59" s="1" t="s">
        <v>596</v>
      </c>
      <c r="B59" s="1" t="s">
        <v>179</v>
      </c>
      <c r="C59" s="1" t="s">
        <v>96</v>
      </c>
      <c r="D59" s="1" t="s">
        <v>536</v>
      </c>
      <c r="E59" s="1" t="s">
        <v>534</v>
      </c>
    </row>
    <row r="60" spans="1:5" x14ac:dyDescent="0.3">
      <c r="A60" s="1" t="s">
        <v>597</v>
      </c>
      <c r="B60" s="1" t="s">
        <v>181</v>
      </c>
      <c r="C60" s="1" t="s">
        <v>14</v>
      </c>
      <c r="D60" s="1" t="s">
        <v>536</v>
      </c>
      <c r="E60" s="1" t="s">
        <v>534</v>
      </c>
    </row>
    <row r="61" spans="1:5" x14ac:dyDescent="0.3">
      <c r="A61" s="1" t="s">
        <v>598</v>
      </c>
      <c r="B61" s="1" t="s">
        <v>41</v>
      </c>
      <c r="C61" s="1" t="s">
        <v>42</v>
      </c>
      <c r="D61" s="1" t="s">
        <v>533</v>
      </c>
      <c r="E61" s="1" t="s">
        <v>538</v>
      </c>
    </row>
    <row r="62" spans="1:5" x14ac:dyDescent="0.3">
      <c r="A62" s="1" t="s">
        <v>599</v>
      </c>
      <c r="B62" s="1" t="s">
        <v>120</v>
      </c>
      <c r="C62" s="1" t="s">
        <v>31</v>
      </c>
      <c r="D62" s="1" t="s">
        <v>536</v>
      </c>
      <c r="E62" s="1" t="s">
        <v>534</v>
      </c>
    </row>
    <row r="63" spans="1:5" x14ac:dyDescent="0.3">
      <c r="A63" s="1" t="s">
        <v>600</v>
      </c>
      <c r="B63" s="1" t="s">
        <v>229</v>
      </c>
      <c r="C63" s="1" t="s">
        <v>151</v>
      </c>
      <c r="D63" s="1" t="s">
        <v>553</v>
      </c>
      <c r="E63" s="1" t="s">
        <v>534</v>
      </c>
    </row>
    <row r="64" spans="1:5" x14ac:dyDescent="0.3">
      <c r="A64" s="1" t="s">
        <v>601</v>
      </c>
      <c r="B64" s="1" t="s">
        <v>232</v>
      </c>
      <c r="C64" s="1" t="s">
        <v>197</v>
      </c>
      <c r="D64" s="1" t="s">
        <v>553</v>
      </c>
      <c r="E64" s="1" t="s">
        <v>534</v>
      </c>
    </row>
    <row r="65" spans="1:5" x14ac:dyDescent="0.3">
      <c r="A65" s="1" t="s">
        <v>602</v>
      </c>
      <c r="B65" s="1" t="s">
        <v>150</v>
      </c>
      <c r="C65" s="1" t="s">
        <v>151</v>
      </c>
      <c r="D65" s="1" t="s">
        <v>536</v>
      </c>
      <c r="E65" s="1" t="s">
        <v>538</v>
      </c>
    </row>
    <row r="66" spans="1:5" x14ac:dyDescent="0.3">
      <c r="A66" s="1" t="s">
        <v>603</v>
      </c>
      <c r="B66" s="1" t="s">
        <v>183</v>
      </c>
      <c r="C66" s="1" t="s">
        <v>128</v>
      </c>
      <c r="D66" s="1" t="s">
        <v>536</v>
      </c>
      <c r="E66" s="1" t="s">
        <v>540</v>
      </c>
    </row>
    <row r="67" spans="1:5" x14ac:dyDescent="0.3">
      <c r="A67" s="1" t="s">
        <v>604</v>
      </c>
      <c r="B67" s="1" t="s">
        <v>32</v>
      </c>
      <c r="C67" s="1" t="s">
        <v>33</v>
      </c>
      <c r="D67" s="1" t="s">
        <v>553</v>
      </c>
      <c r="E67" s="1" t="s">
        <v>534</v>
      </c>
    </row>
    <row r="68" spans="1:5" x14ac:dyDescent="0.3">
      <c r="A68" s="1" t="s">
        <v>605</v>
      </c>
      <c r="B68" s="1" t="s">
        <v>214</v>
      </c>
      <c r="C68" s="1" t="s">
        <v>10</v>
      </c>
      <c r="D68" s="1" t="s">
        <v>544</v>
      </c>
      <c r="E68" s="1" t="s">
        <v>534</v>
      </c>
    </row>
    <row r="69" spans="1:5" x14ac:dyDescent="0.3">
      <c r="A69" s="1" t="s">
        <v>606</v>
      </c>
      <c r="B69" s="1" t="s">
        <v>115</v>
      </c>
      <c r="C69" s="1" t="s">
        <v>56</v>
      </c>
      <c r="D69" s="1" t="s">
        <v>544</v>
      </c>
      <c r="E69" s="1" t="s">
        <v>534</v>
      </c>
    </row>
    <row r="70" spans="1:5" x14ac:dyDescent="0.3">
      <c r="A70" s="1" t="s">
        <v>607</v>
      </c>
      <c r="B70" s="1" t="s">
        <v>157</v>
      </c>
      <c r="C70" s="1" t="s">
        <v>158</v>
      </c>
      <c r="D70" s="1" t="s">
        <v>533</v>
      </c>
      <c r="E70" s="1" t="s">
        <v>534</v>
      </c>
    </row>
    <row r="71" spans="1:5" x14ac:dyDescent="0.3">
      <c r="A71" s="1" t="s">
        <v>608</v>
      </c>
      <c r="B71" s="1" t="s">
        <v>159</v>
      </c>
      <c r="C71" s="1" t="s">
        <v>101</v>
      </c>
      <c r="D71" s="1" t="s">
        <v>544</v>
      </c>
      <c r="E71" s="1" t="s">
        <v>534</v>
      </c>
    </row>
    <row r="72" spans="1:5" x14ac:dyDescent="0.3">
      <c r="A72" s="1" t="s">
        <v>609</v>
      </c>
      <c r="B72" s="1" t="s">
        <v>59</v>
      </c>
      <c r="C72" s="1" t="s">
        <v>60</v>
      </c>
      <c r="D72" s="1" t="s">
        <v>553</v>
      </c>
      <c r="E72" s="1" t="s">
        <v>540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6E03-702E-4A4A-A297-B072F1E194DE}">
  <dimension ref="A1:F196"/>
  <sheetViews>
    <sheetView workbookViewId="0">
      <selection activeCell="H9" sqref="H9"/>
    </sheetView>
  </sheetViews>
  <sheetFormatPr defaultRowHeight="14.4" x14ac:dyDescent="0.3"/>
  <cols>
    <col min="1" max="1" width="10.109375" bestFit="1" customWidth="1"/>
    <col min="2" max="2" width="11.109375" bestFit="1" customWidth="1"/>
    <col min="3" max="3" width="14.5546875" bestFit="1" customWidth="1"/>
    <col min="4" max="4" width="17.77734375" bestFit="1" customWidth="1"/>
    <col min="5" max="5" width="12" bestFit="1" customWidth="1"/>
    <col min="6" max="6" width="12.21875" bestFit="1" customWidth="1"/>
  </cols>
  <sheetData>
    <row r="1" spans="1:6" x14ac:dyDescent="0.3">
      <c r="A1" t="s">
        <v>330</v>
      </c>
      <c r="B1" t="s">
        <v>0</v>
      </c>
      <c r="C1" t="s">
        <v>331</v>
      </c>
      <c r="D1" t="s">
        <v>332</v>
      </c>
      <c r="E1" t="s">
        <v>333</v>
      </c>
      <c r="F1" t="s">
        <v>1</v>
      </c>
    </row>
    <row r="2" spans="1:6" x14ac:dyDescent="0.3">
      <c r="A2" s="1" t="s">
        <v>334</v>
      </c>
      <c r="B2" s="1" t="s">
        <v>7</v>
      </c>
      <c r="C2">
        <v>2</v>
      </c>
      <c r="D2">
        <v>20</v>
      </c>
      <c r="E2" t="b">
        <v>1</v>
      </c>
      <c r="F2" s="1" t="s">
        <v>8</v>
      </c>
    </row>
    <row r="3" spans="1:6" x14ac:dyDescent="0.3">
      <c r="A3" s="1" t="s">
        <v>335</v>
      </c>
      <c r="B3" s="1" t="s">
        <v>9</v>
      </c>
      <c r="C3">
        <v>5</v>
      </c>
      <c r="D3">
        <v>20</v>
      </c>
      <c r="E3" t="b">
        <v>0</v>
      </c>
      <c r="F3" s="1" t="s">
        <v>10</v>
      </c>
    </row>
    <row r="4" spans="1:6" x14ac:dyDescent="0.3">
      <c r="A4" s="1" t="s">
        <v>336</v>
      </c>
      <c r="B4" s="1" t="s">
        <v>11</v>
      </c>
      <c r="C4">
        <v>6</v>
      </c>
      <c r="D4">
        <v>20</v>
      </c>
      <c r="E4" t="b">
        <v>0</v>
      </c>
      <c r="F4" s="1" t="s">
        <v>12</v>
      </c>
    </row>
    <row r="5" spans="1:6" x14ac:dyDescent="0.3">
      <c r="A5" s="1" t="s">
        <v>337</v>
      </c>
      <c r="B5" s="1" t="s">
        <v>13</v>
      </c>
      <c r="C5">
        <v>3</v>
      </c>
      <c r="D5">
        <v>15</v>
      </c>
      <c r="E5" t="b">
        <v>0</v>
      </c>
      <c r="F5" s="1" t="s">
        <v>14</v>
      </c>
    </row>
    <row r="6" spans="1:6" x14ac:dyDescent="0.3">
      <c r="A6" s="1" t="s">
        <v>338</v>
      </c>
      <c r="B6" s="1" t="s">
        <v>15</v>
      </c>
      <c r="C6">
        <v>2</v>
      </c>
      <c r="D6">
        <v>10</v>
      </c>
      <c r="E6" t="b">
        <v>0</v>
      </c>
      <c r="F6" s="1" t="s">
        <v>16</v>
      </c>
    </row>
    <row r="7" spans="1:6" x14ac:dyDescent="0.3">
      <c r="A7" s="1" t="s">
        <v>339</v>
      </c>
      <c r="B7" s="1" t="s">
        <v>17</v>
      </c>
      <c r="C7">
        <v>6</v>
      </c>
      <c r="D7">
        <v>20</v>
      </c>
      <c r="E7" t="b">
        <v>0</v>
      </c>
      <c r="F7" s="1" t="s">
        <v>18</v>
      </c>
    </row>
    <row r="8" spans="1:6" x14ac:dyDescent="0.3">
      <c r="A8" s="1" t="s">
        <v>340</v>
      </c>
      <c r="B8" s="1" t="s">
        <v>19</v>
      </c>
      <c r="C8">
        <v>5</v>
      </c>
      <c r="D8">
        <v>30</v>
      </c>
      <c r="E8" t="b">
        <v>1</v>
      </c>
      <c r="F8" s="1" t="s">
        <v>20</v>
      </c>
    </row>
    <row r="9" spans="1:6" x14ac:dyDescent="0.3">
      <c r="A9" s="1" t="s">
        <v>341</v>
      </c>
      <c r="B9" s="1" t="s">
        <v>21</v>
      </c>
      <c r="C9">
        <v>3</v>
      </c>
      <c r="D9">
        <v>25</v>
      </c>
      <c r="E9" t="b">
        <v>0</v>
      </c>
      <c r="F9" s="1" t="s">
        <v>22</v>
      </c>
    </row>
    <row r="10" spans="1:6" x14ac:dyDescent="0.3">
      <c r="A10" s="1" t="s">
        <v>342</v>
      </c>
      <c r="B10" s="1" t="s">
        <v>23</v>
      </c>
      <c r="C10">
        <v>7</v>
      </c>
      <c r="D10">
        <v>5</v>
      </c>
      <c r="E10" t="b">
        <v>0</v>
      </c>
      <c r="F10" s="1" t="s">
        <v>12</v>
      </c>
    </row>
    <row r="11" spans="1:6" x14ac:dyDescent="0.3">
      <c r="A11" s="1" t="s">
        <v>343</v>
      </c>
      <c r="B11" s="1" t="s">
        <v>24</v>
      </c>
      <c r="C11">
        <v>5</v>
      </c>
      <c r="D11">
        <v>10</v>
      </c>
      <c r="E11" t="b">
        <v>1</v>
      </c>
      <c r="F11" s="1" t="s">
        <v>25</v>
      </c>
    </row>
    <row r="12" spans="1:6" x14ac:dyDescent="0.3">
      <c r="A12" s="1" t="s">
        <v>344</v>
      </c>
      <c r="B12" s="1" t="s">
        <v>26</v>
      </c>
      <c r="C12">
        <v>8</v>
      </c>
      <c r="D12">
        <v>10</v>
      </c>
      <c r="E12" t="b">
        <v>0</v>
      </c>
      <c r="F12" s="1" t="s">
        <v>27</v>
      </c>
    </row>
    <row r="13" spans="1:6" x14ac:dyDescent="0.3">
      <c r="A13" s="1" t="s">
        <v>345</v>
      </c>
      <c r="B13" s="1" t="s">
        <v>28</v>
      </c>
      <c r="C13">
        <v>5</v>
      </c>
      <c r="D13">
        <v>5</v>
      </c>
      <c r="E13" t="b">
        <v>0</v>
      </c>
      <c r="F13" s="1" t="s">
        <v>29</v>
      </c>
    </row>
    <row r="14" spans="1:6" x14ac:dyDescent="0.3">
      <c r="A14" s="1" t="s">
        <v>346</v>
      </c>
      <c r="B14" s="1" t="s">
        <v>30</v>
      </c>
      <c r="C14">
        <v>4</v>
      </c>
      <c r="D14">
        <v>5</v>
      </c>
      <c r="E14" t="b">
        <v>0</v>
      </c>
      <c r="F14" s="1" t="s">
        <v>31</v>
      </c>
    </row>
    <row r="15" spans="1:6" x14ac:dyDescent="0.3">
      <c r="A15" s="1" t="s">
        <v>347</v>
      </c>
      <c r="B15" s="1" t="s">
        <v>32</v>
      </c>
      <c r="C15">
        <v>4</v>
      </c>
      <c r="D15">
        <v>5</v>
      </c>
      <c r="E15" t="b">
        <v>0</v>
      </c>
      <c r="F15" s="1" t="s">
        <v>33</v>
      </c>
    </row>
    <row r="16" spans="1:6" x14ac:dyDescent="0.3">
      <c r="A16" s="1" t="s">
        <v>348</v>
      </c>
      <c r="B16" s="1" t="s">
        <v>34</v>
      </c>
      <c r="C16">
        <v>9</v>
      </c>
      <c r="D16">
        <v>15</v>
      </c>
      <c r="E16" t="b">
        <v>0</v>
      </c>
      <c r="F16" s="1" t="s">
        <v>35</v>
      </c>
    </row>
    <row r="17" spans="1:6" x14ac:dyDescent="0.3">
      <c r="A17" s="1" t="s">
        <v>349</v>
      </c>
      <c r="B17" s="1" t="s">
        <v>36</v>
      </c>
      <c r="C17">
        <v>2</v>
      </c>
      <c r="D17">
        <v>25</v>
      </c>
      <c r="E17" t="b">
        <v>0</v>
      </c>
      <c r="F17" s="1" t="s">
        <v>37</v>
      </c>
    </row>
    <row r="18" spans="1:6" x14ac:dyDescent="0.3">
      <c r="A18" s="1" t="s">
        <v>350</v>
      </c>
      <c r="B18" s="1" t="s">
        <v>38</v>
      </c>
      <c r="C18">
        <v>3</v>
      </c>
      <c r="D18">
        <v>25</v>
      </c>
      <c r="E18" t="b">
        <v>0</v>
      </c>
      <c r="F18" s="1" t="s">
        <v>39</v>
      </c>
    </row>
    <row r="19" spans="1:6" x14ac:dyDescent="0.3">
      <c r="A19" s="1" t="s">
        <v>351</v>
      </c>
      <c r="B19" s="1" t="s">
        <v>40</v>
      </c>
      <c r="C19">
        <v>3</v>
      </c>
      <c r="D19">
        <v>20</v>
      </c>
      <c r="E19" t="b">
        <v>0</v>
      </c>
      <c r="F19" s="1" t="s">
        <v>10</v>
      </c>
    </row>
    <row r="20" spans="1:6" x14ac:dyDescent="0.3">
      <c r="A20" s="1" t="s">
        <v>352</v>
      </c>
      <c r="B20" s="1" t="s">
        <v>41</v>
      </c>
      <c r="C20">
        <v>6</v>
      </c>
      <c r="D20">
        <v>0</v>
      </c>
      <c r="E20" t="b">
        <v>0</v>
      </c>
      <c r="F20" s="1" t="s">
        <v>42</v>
      </c>
    </row>
    <row r="21" spans="1:6" x14ac:dyDescent="0.3">
      <c r="A21" s="1" t="s">
        <v>353</v>
      </c>
      <c r="B21" s="1" t="s">
        <v>43</v>
      </c>
      <c r="C21">
        <v>6</v>
      </c>
      <c r="D21">
        <v>5</v>
      </c>
      <c r="E21" t="b">
        <v>0</v>
      </c>
      <c r="F21" s="1" t="s">
        <v>44</v>
      </c>
    </row>
    <row r="22" spans="1:6" x14ac:dyDescent="0.3">
      <c r="A22" s="1" t="s">
        <v>354</v>
      </c>
      <c r="B22" s="1" t="s">
        <v>45</v>
      </c>
      <c r="C22">
        <v>8</v>
      </c>
      <c r="D22">
        <v>5</v>
      </c>
      <c r="E22" t="b">
        <v>0</v>
      </c>
      <c r="F22" s="1" t="s">
        <v>39</v>
      </c>
    </row>
    <row r="23" spans="1:6" x14ac:dyDescent="0.3">
      <c r="A23" s="1" t="s">
        <v>355</v>
      </c>
      <c r="B23" s="1" t="s">
        <v>46</v>
      </c>
      <c r="C23">
        <v>4</v>
      </c>
      <c r="D23">
        <v>25</v>
      </c>
      <c r="E23" t="b">
        <v>1</v>
      </c>
      <c r="F23" s="1" t="s">
        <v>47</v>
      </c>
    </row>
    <row r="24" spans="1:6" x14ac:dyDescent="0.3">
      <c r="A24" s="1" t="s">
        <v>356</v>
      </c>
      <c r="B24" s="1" t="s">
        <v>48</v>
      </c>
      <c r="C24">
        <v>3</v>
      </c>
      <c r="D24">
        <v>20</v>
      </c>
      <c r="E24" t="b">
        <v>0</v>
      </c>
      <c r="F24" s="1" t="s">
        <v>49</v>
      </c>
    </row>
    <row r="25" spans="1:6" x14ac:dyDescent="0.3">
      <c r="A25" s="1" t="s">
        <v>357</v>
      </c>
      <c r="B25" s="1" t="s">
        <v>50</v>
      </c>
      <c r="C25">
        <v>2</v>
      </c>
      <c r="D25">
        <v>30</v>
      </c>
      <c r="E25" t="b">
        <v>1</v>
      </c>
      <c r="F25" s="1" t="s">
        <v>42</v>
      </c>
    </row>
    <row r="26" spans="1:6" x14ac:dyDescent="0.3">
      <c r="A26" s="1" t="s">
        <v>358</v>
      </c>
      <c r="B26" s="1" t="s">
        <v>51</v>
      </c>
      <c r="C26">
        <v>5</v>
      </c>
      <c r="D26">
        <v>10</v>
      </c>
      <c r="E26" t="b">
        <v>0</v>
      </c>
      <c r="F26" s="1" t="s">
        <v>52</v>
      </c>
    </row>
    <row r="27" spans="1:6" x14ac:dyDescent="0.3">
      <c r="A27" s="1" t="s">
        <v>359</v>
      </c>
      <c r="B27" s="1" t="s">
        <v>53</v>
      </c>
      <c r="C27">
        <v>3</v>
      </c>
      <c r="D27">
        <v>10</v>
      </c>
      <c r="E27" t="b">
        <v>0</v>
      </c>
      <c r="F27" s="1" t="s">
        <v>35</v>
      </c>
    </row>
    <row r="28" spans="1:6" x14ac:dyDescent="0.3">
      <c r="A28" s="1" t="s">
        <v>360</v>
      </c>
      <c r="B28" s="1" t="s">
        <v>54</v>
      </c>
      <c r="C28">
        <v>6</v>
      </c>
      <c r="D28">
        <v>20</v>
      </c>
      <c r="E28" t="b">
        <v>0</v>
      </c>
      <c r="F28" s="1" t="s">
        <v>47</v>
      </c>
    </row>
    <row r="29" spans="1:6" x14ac:dyDescent="0.3">
      <c r="A29" s="1" t="s">
        <v>361</v>
      </c>
      <c r="B29" s="1" t="s">
        <v>55</v>
      </c>
      <c r="C29">
        <v>4</v>
      </c>
      <c r="D29">
        <v>5</v>
      </c>
      <c r="E29" t="b">
        <v>0</v>
      </c>
      <c r="F29" s="1" t="s">
        <v>56</v>
      </c>
    </row>
    <row r="30" spans="1:6" x14ac:dyDescent="0.3">
      <c r="A30" s="1" t="s">
        <v>362</v>
      </c>
      <c r="B30" s="1" t="s">
        <v>57</v>
      </c>
      <c r="C30">
        <v>4</v>
      </c>
      <c r="D30">
        <v>10</v>
      </c>
      <c r="E30" t="b">
        <v>0</v>
      </c>
      <c r="F30" s="1" t="s">
        <v>58</v>
      </c>
    </row>
    <row r="31" spans="1:6" x14ac:dyDescent="0.3">
      <c r="A31" s="1" t="s">
        <v>363</v>
      </c>
      <c r="B31" s="1" t="s">
        <v>59</v>
      </c>
      <c r="C31">
        <v>7</v>
      </c>
      <c r="D31">
        <v>25</v>
      </c>
      <c r="E31" t="b">
        <v>1</v>
      </c>
      <c r="F31" s="1" t="s">
        <v>60</v>
      </c>
    </row>
    <row r="32" spans="1:6" x14ac:dyDescent="0.3">
      <c r="A32" s="1" t="s">
        <v>364</v>
      </c>
      <c r="B32" s="1" t="s">
        <v>61</v>
      </c>
      <c r="C32">
        <v>4</v>
      </c>
      <c r="D32">
        <v>10</v>
      </c>
      <c r="E32" t="b">
        <v>0</v>
      </c>
      <c r="F32" s="1" t="s">
        <v>35</v>
      </c>
    </row>
    <row r="33" spans="1:6" x14ac:dyDescent="0.3">
      <c r="A33" s="1" t="s">
        <v>365</v>
      </c>
      <c r="B33" s="1" t="s">
        <v>62</v>
      </c>
      <c r="C33">
        <v>1</v>
      </c>
      <c r="D33">
        <v>10</v>
      </c>
      <c r="E33" t="b">
        <v>0</v>
      </c>
      <c r="F33" s="1" t="s">
        <v>63</v>
      </c>
    </row>
    <row r="34" spans="1:6" x14ac:dyDescent="0.3">
      <c r="A34" s="1" t="s">
        <v>366</v>
      </c>
      <c r="B34" s="1" t="s">
        <v>64</v>
      </c>
      <c r="C34">
        <v>2</v>
      </c>
      <c r="D34">
        <v>10</v>
      </c>
      <c r="E34" t="b">
        <v>1</v>
      </c>
      <c r="F34" s="1" t="s">
        <v>65</v>
      </c>
    </row>
    <row r="35" spans="1:6" x14ac:dyDescent="0.3">
      <c r="A35" s="1" t="s">
        <v>367</v>
      </c>
      <c r="B35" s="1" t="s">
        <v>66</v>
      </c>
      <c r="C35">
        <v>6</v>
      </c>
      <c r="D35">
        <v>15</v>
      </c>
      <c r="E35" t="b">
        <v>0</v>
      </c>
      <c r="F35" s="1" t="s">
        <v>37</v>
      </c>
    </row>
    <row r="36" spans="1:6" x14ac:dyDescent="0.3">
      <c r="A36" s="1" t="s">
        <v>368</v>
      </c>
      <c r="B36" s="1" t="s">
        <v>67</v>
      </c>
      <c r="C36">
        <v>5</v>
      </c>
      <c r="D36">
        <v>25</v>
      </c>
      <c r="E36" t="b">
        <v>0</v>
      </c>
      <c r="F36" s="1" t="s">
        <v>68</v>
      </c>
    </row>
    <row r="37" spans="1:6" x14ac:dyDescent="0.3">
      <c r="A37" s="1" t="s">
        <v>369</v>
      </c>
      <c r="B37" s="1" t="s">
        <v>69</v>
      </c>
      <c r="C37">
        <v>4</v>
      </c>
      <c r="D37">
        <v>25</v>
      </c>
      <c r="E37" t="b">
        <v>0</v>
      </c>
      <c r="F37" s="1" t="s">
        <v>68</v>
      </c>
    </row>
    <row r="38" spans="1:6" x14ac:dyDescent="0.3">
      <c r="A38" s="1" t="s">
        <v>370</v>
      </c>
      <c r="B38" s="1" t="s">
        <v>70</v>
      </c>
      <c r="C38">
        <v>2</v>
      </c>
      <c r="D38">
        <v>25</v>
      </c>
      <c r="E38" t="b">
        <v>0</v>
      </c>
      <c r="F38" s="1" t="s">
        <v>71</v>
      </c>
    </row>
    <row r="39" spans="1:6" x14ac:dyDescent="0.3">
      <c r="A39" s="1" t="s">
        <v>371</v>
      </c>
      <c r="B39" s="1" t="s">
        <v>72</v>
      </c>
      <c r="C39">
        <v>2</v>
      </c>
      <c r="D39">
        <v>5</v>
      </c>
      <c r="E39" t="b">
        <v>0</v>
      </c>
      <c r="F39" s="1" t="s">
        <v>73</v>
      </c>
    </row>
    <row r="40" spans="1:6" x14ac:dyDescent="0.3">
      <c r="A40" s="1" t="s">
        <v>372</v>
      </c>
      <c r="B40" s="1" t="s">
        <v>74</v>
      </c>
      <c r="C40">
        <v>6</v>
      </c>
      <c r="D40">
        <v>15</v>
      </c>
      <c r="E40" t="b">
        <v>1</v>
      </c>
      <c r="F40" s="1" t="s">
        <v>42</v>
      </c>
    </row>
    <row r="41" spans="1:6" x14ac:dyDescent="0.3">
      <c r="A41" s="1" t="s">
        <v>373</v>
      </c>
      <c r="B41" s="1" t="s">
        <v>75</v>
      </c>
      <c r="C41">
        <v>3</v>
      </c>
      <c r="D41">
        <v>5</v>
      </c>
      <c r="E41" t="b">
        <v>0</v>
      </c>
      <c r="F41" s="1" t="s">
        <v>52</v>
      </c>
    </row>
    <row r="42" spans="1:6" x14ac:dyDescent="0.3">
      <c r="A42" s="1" t="s">
        <v>374</v>
      </c>
      <c r="B42" s="1" t="s">
        <v>76</v>
      </c>
      <c r="C42">
        <v>2</v>
      </c>
      <c r="D42">
        <v>30</v>
      </c>
      <c r="E42" t="b">
        <v>0</v>
      </c>
      <c r="F42" s="1" t="s">
        <v>35</v>
      </c>
    </row>
    <row r="43" spans="1:6" x14ac:dyDescent="0.3">
      <c r="A43" s="1" t="s">
        <v>375</v>
      </c>
      <c r="B43" s="1" t="s">
        <v>77</v>
      </c>
      <c r="C43">
        <v>8</v>
      </c>
      <c r="D43">
        <v>25</v>
      </c>
      <c r="E43" t="b">
        <v>0</v>
      </c>
      <c r="F43" s="1" t="s">
        <v>78</v>
      </c>
    </row>
    <row r="44" spans="1:6" x14ac:dyDescent="0.3">
      <c r="A44" s="1" t="s">
        <v>376</v>
      </c>
      <c r="B44" s="1" t="s">
        <v>79</v>
      </c>
      <c r="C44">
        <v>3</v>
      </c>
      <c r="D44">
        <v>10</v>
      </c>
      <c r="E44" t="b">
        <v>0</v>
      </c>
      <c r="F44" s="1" t="s">
        <v>80</v>
      </c>
    </row>
    <row r="45" spans="1:6" x14ac:dyDescent="0.3">
      <c r="A45" s="1" t="s">
        <v>377</v>
      </c>
      <c r="B45" s="1" t="s">
        <v>81</v>
      </c>
      <c r="C45">
        <v>2</v>
      </c>
      <c r="D45">
        <v>30</v>
      </c>
      <c r="E45" t="b">
        <v>0</v>
      </c>
      <c r="F45" s="1" t="s">
        <v>82</v>
      </c>
    </row>
    <row r="46" spans="1:6" x14ac:dyDescent="0.3">
      <c r="A46" s="1" t="s">
        <v>378</v>
      </c>
      <c r="B46" s="1" t="s">
        <v>83</v>
      </c>
      <c r="C46">
        <v>6</v>
      </c>
      <c r="D46">
        <v>20</v>
      </c>
      <c r="E46" t="b">
        <v>0</v>
      </c>
      <c r="F46" s="1" t="s">
        <v>84</v>
      </c>
    </row>
    <row r="47" spans="1:6" x14ac:dyDescent="0.3">
      <c r="A47" s="1" t="s">
        <v>379</v>
      </c>
      <c r="B47" s="1" t="s">
        <v>85</v>
      </c>
      <c r="C47">
        <v>3</v>
      </c>
      <c r="D47">
        <v>0</v>
      </c>
      <c r="E47" t="b">
        <v>0</v>
      </c>
      <c r="F47" s="1" t="s">
        <v>60</v>
      </c>
    </row>
    <row r="48" spans="1:6" x14ac:dyDescent="0.3">
      <c r="A48" s="1" t="s">
        <v>380</v>
      </c>
      <c r="B48" s="1" t="s">
        <v>86</v>
      </c>
      <c r="C48">
        <v>3</v>
      </c>
      <c r="D48">
        <v>20</v>
      </c>
      <c r="E48" t="b">
        <v>0</v>
      </c>
      <c r="F48" s="1" t="s">
        <v>87</v>
      </c>
    </row>
    <row r="49" spans="1:6" x14ac:dyDescent="0.3">
      <c r="A49" s="1" t="s">
        <v>381</v>
      </c>
      <c r="B49" s="1" t="s">
        <v>88</v>
      </c>
      <c r="C49">
        <v>3</v>
      </c>
      <c r="D49">
        <v>5</v>
      </c>
      <c r="E49" t="b">
        <v>0</v>
      </c>
      <c r="F49" s="1" t="s">
        <v>42</v>
      </c>
    </row>
    <row r="50" spans="1:6" x14ac:dyDescent="0.3">
      <c r="A50" s="1" t="s">
        <v>382</v>
      </c>
      <c r="B50" s="1" t="s">
        <v>89</v>
      </c>
      <c r="C50">
        <v>4</v>
      </c>
      <c r="D50">
        <v>30</v>
      </c>
      <c r="E50" t="b">
        <v>0</v>
      </c>
      <c r="F50" s="1" t="s">
        <v>90</v>
      </c>
    </row>
    <row r="51" spans="1:6" x14ac:dyDescent="0.3">
      <c r="A51" s="1" t="s">
        <v>383</v>
      </c>
      <c r="B51" s="1" t="s">
        <v>91</v>
      </c>
      <c r="C51">
        <v>4</v>
      </c>
      <c r="D51">
        <v>20</v>
      </c>
      <c r="E51" t="b">
        <v>0</v>
      </c>
      <c r="F51" s="1" t="s">
        <v>39</v>
      </c>
    </row>
    <row r="52" spans="1:6" x14ac:dyDescent="0.3">
      <c r="A52" s="1" t="s">
        <v>384</v>
      </c>
      <c r="B52" s="1" t="s">
        <v>92</v>
      </c>
      <c r="C52">
        <v>8</v>
      </c>
      <c r="D52">
        <v>20</v>
      </c>
      <c r="E52" t="b">
        <v>0</v>
      </c>
      <c r="F52" s="1" t="s">
        <v>39</v>
      </c>
    </row>
    <row r="53" spans="1:6" x14ac:dyDescent="0.3">
      <c r="A53" s="1" t="s">
        <v>385</v>
      </c>
      <c r="B53" s="1" t="s">
        <v>93</v>
      </c>
      <c r="C53">
        <v>5</v>
      </c>
      <c r="D53">
        <v>25</v>
      </c>
      <c r="E53" t="b">
        <v>0</v>
      </c>
      <c r="F53" s="1" t="s">
        <v>94</v>
      </c>
    </row>
    <row r="54" spans="1:6" x14ac:dyDescent="0.3">
      <c r="A54" s="1" t="s">
        <v>386</v>
      </c>
      <c r="B54" s="1" t="s">
        <v>95</v>
      </c>
      <c r="C54">
        <v>4</v>
      </c>
      <c r="D54">
        <v>0</v>
      </c>
      <c r="E54" t="b">
        <v>1</v>
      </c>
      <c r="F54" s="1" t="s">
        <v>96</v>
      </c>
    </row>
    <row r="55" spans="1:6" x14ac:dyDescent="0.3">
      <c r="A55" s="1" t="s">
        <v>387</v>
      </c>
      <c r="B55" s="1" t="s">
        <v>97</v>
      </c>
      <c r="C55">
        <v>5</v>
      </c>
      <c r="D55">
        <v>5</v>
      </c>
      <c r="E55" t="b">
        <v>0</v>
      </c>
      <c r="F55" s="1" t="s">
        <v>37</v>
      </c>
    </row>
    <row r="56" spans="1:6" x14ac:dyDescent="0.3">
      <c r="A56" s="1" t="s">
        <v>388</v>
      </c>
      <c r="B56" s="1" t="s">
        <v>98</v>
      </c>
      <c r="C56">
        <v>7</v>
      </c>
      <c r="D56">
        <v>15</v>
      </c>
      <c r="E56" t="b">
        <v>0</v>
      </c>
      <c r="F56" s="1" t="s">
        <v>52</v>
      </c>
    </row>
    <row r="57" spans="1:6" x14ac:dyDescent="0.3">
      <c r="A57" s="1" t="s">
        <v>389</v>
      </c>
      <c r="B57" s="1" t="s">
        <v>99</v>
      </c>
      <c r="C57">
        <v>2</v>
      </c>
      <c r="D57">
        <v>25</v>
      </c>
      <c r="E57" t="b">
        <v>0</v>
      </c>
      <c r="F57" s="1" t="s">
        <v>78</v>
      </c>
    </row>
    <row r="58" spans="1:6" x14ac:dyDescent="0.3">
      <c r="A58" s="1" t="s">
        <v>390</v>
      </c>
      <c r="B58" s="1" t="s">
        <v>100</v>
      </c>
      <c r="C58">
        <v>5</v>
      </c>
      <c r="D58">
        <v>10</v>
      </c>
      <c r="E58" t="b">
        <v>1</v>
      </c>
      <c r="F58" s="1" t="s">
        <v>101</v>
      </c>
    </row>
    <row r="59" spans="1:6" x14ac:dyDescent="0.3">
      <c r="A59" s="1" t="s">
        <v>391</v>
      </c>
      <c r="B59" s="1" t="s">
        <v>102</v>
      </c>
      <c r="C59">
        <v>4</v>
      </c>
      <c r="D59">
        <v>20</v>
      </c>
      <c r="E59" t="b">
        <v>0</v>
      </c>
      <c r="F59" s="1" t="s">
        <v>68</v>
      </c>
    </row>
    <row r="60" spans="1:6" x14ac:dyDescent="0.3">
      <c r="A60" s="1" t="s">
        <v>392</v>
      </c>
      <c r="B60" s="1" t="s">
        <v>103</v>
      </c>
      <c r="C60">
        <v>6</v>
      </c>
      <c r="D60">
        <v>15</v>
      </c>
      <c r="E60" t="b">
        <v>0</v>
      </c>
      <c r="F60" s="1" t="s">
        <v>104</v>
      </c>
    </row>
    <row r="61" spans="1:6" x14ac:dyDescent="0.3">
      <c r="A61" s="1" t="s">
        <v>393</v>
      </c>
      <c r="B61" s="1" t="s">
        <v>105</v>
      </c>
      <c r="C61">
        <v>3</v>
      </c>
      <c r="D61">
        <v>10</v>
      </c>
      <c r="E61" t="b">
        <v>0</v>
      </c>
      <c r="F61" s="1" t="s">
        <v>106</v>
      </c>
    </row>
    <row r="62" spans="1:6" x14ac:dyDescent="0.3">
      <c r="A62" s="1" t="s">
        <v>394</v>
      </c>
      <c r="B62" s="1" t="s">
        <v>107</v>
      </c>
      <c r="C62">
        <v>5</v>
      </c>
      <c r="D62">
        <v>15</v>
      </c>
      <c r="E62" t="b">
        <v>1</v>
      </c>
      <c r="F62" s="1" t="s">
        <v>84</v>
      </c>
    </row>
    <row r="63" spans="1:6" x14ac:dyDescent="0.3">
      <c r="A63" s="1" t="s">
        <v>395</v>
      </c>
      <c r="B63" s="1" t="s">
        <v>108</v>
      </c>
      <c r="C63">
        <v>5</v>
      </c>
      <c r="D63">
        <v>10</v>
      </c>
      <c r="E63" t="b">
        <v>0</v>
      </c>
      <c r="F63" s="1" t="s">
        <v>25</v>
      </c>
    </row>
    <row r="64" spans="1:6" x14ac:dyDescent="0.3">
      <c r="A64" s="1" t="s">
        <v>396</v>
      </c>
      <c r="B64" s="1" t="s">
        <v>109</v>
      </c>
      <c r="C64">
        <v>2</v>
      </c>
      <c r="D64">
        <v>10</v>
      </c>
      <c r="E64" t="b">
        <v>0</v>
      </c>
      <c r="F64" s="1" t="s">
        <v>39</v>
      </c>
    </row>
    <row r="65" spans="1:6" x14ac:dyDescent="0.3">
      <c r="A65" s="1" t="s">
        <v>397</v>
      </c>
      <c r="B65" s="1" t="s">
        <v>110</v>
      </c>
      <c r="C65">
        <v>3</v>
      </c>
      <c r="D65">
        <v>15</v>
      </c>
      <c r="E65" t="b">
        <v>1</v>
      </c>
      <c r="F65" s="1" t="s">
        <v>42</v>
      </c>
    </row>
    <row r="66" spans="1:6" x14ac:dyDescent="0.3">
      <c r="A66" s="1" t="s">
        <v>398</v>
      </c>
      <c r="B66" s="1" t="s">
        <v>111</v>
      </c>
      <c r="C66">
        <v>5</v>
      </c>
      <c r="D66">
        <v>20</v>
      </c>
      <c r="E66" t="b">
        <v>0</v>
      </c>
      <c r="F66" s="1" t="s">
        <v>56</v>
      </c>
    </row>
    <row r="67" spans="1:6" x14ac:dyDescent="0.3">
      <c r="A67" s="1" t="s">
        <v>399</v>
      </c>
      <c r="B67" s="1" t="s">
        <v>112</v>
      </c>
      <c r="C67">
        <v>5</v>
      </c>
      <c r="D67">
        <v>0</v>
      </c>
      <c r="E67" t="b">
        <v>0</v>
      </c>
      <c r="F67" s="1" t="s">
        <v>56</v>
      </c>
    </row>
    <row r="68" spans="1:6" x14ac:dyDescent="0.3">
      <c r="A68" s="1" t="s">
        <v>400</v>
      </c>
      <c r="B68" s="1" t="s">
        <v>113</v>
      </c>
      <c r="C68">
        <v>3</v>
      </c>
      <c r="D68">
        <v>15</v>
      </c>
      <c r="E68" t="b">
        <v>1</v>
      </c>
      <c r="F68" s="1" t="s">
        <v>114</v>
      </c>
    </row>
    <row r="69" spans="1:6" x14ac:dyDescent="0.3">
      <c r="A69" s="1" t="s">
        <v>401</v>
      </c>
      <c r="B69" s="1" t="s">
        <v>115</v>
      </c>
      <c r="C69">
        <v>3</v>
      </c>
      <c r="D69">
        <v>25</v>
      </c>
      <c r="E69" t="b">
        <v>0</v>
      </c>
      <c r="F69" s="1" t="s">
        <v>56</v>
      </c>
    </row>
    <row r="70" spans="1:6" x14ac:dyDescent="0.3">
      <c r="A70" s="1" t="s">
        <v>402</v>
      </c>
      <c r="B70" s="1" t="s">
        <v>116</v>
      </c>
      <c r="C70">
        <v>3</v>
      </c>
      <c r="D70">
        <v>5</v>
      </c>
      <c r="E70" t="b">
        <v>0</v>
      </c>
      <c r="F70" s="1" t="s">
        <v>78</v>
      </c>
    </row>
    <row r="71" spans="1:6" x14ac:dyDescent="0.3">
      <c r="A71" s="1" t="s">
        <v>403</v>
      </c>
      <c r="B71" s="1" t="s">
        <v>117</v>
      </c>
      <c r="C71">
        <v>2</v>
      </c>
      <c r="D71">
        <v>20</v>
      </c>
      <c r="E71" t="b">
        <v>0</v>
      </c>
      <c r="F71" s="1" t="s">
        <v>101</v>
      </c>
    </row>
    <row r="72" spans="1:6" x14ac:dyDescent="0.3">
      <c r="A72" s="1" t="s">
        <v>404</v>
      </c>
      <c r="B72" s="1" t="s">
        <v>118</v>
      </c>
      <c r="C72">
        <v>5</v>
      </c>
      <c r="D72">
        <v>10</v>
      </c>
      <c r="E72" t="b">
        <v>1</v>
      </c>
      <c r="F72" s="1" t="s">
        <v>119</v>
      </c>
    </row>
    <row r="73" spans="1:6" x14ac:dyDescent="0.3">
      <c r="A73" s="1" t="s">
        <v>405</v>
      </c>
      <c r="B73" s="1" t="s">
        <v>120</v>
      </c>
      <c r="C73">
        <v>3</v>
      </c>
      <c r="D73">
        <v>20</v>
      </c>
      <c r="E73" t="b">
        <v>1</v>
      </c>
      <c r="F73" s="1" t="s">
        <v>31</v>
      </c>
    </row>
    <row r="74" spans="1:6" x14ac:dyDescent="0.3">
      <c r="A74" s="1" t="s">
        <v>406</v>
      </c>
      <c r="B74" s="1" t="s">
        <v>121</v>
      </c>
      <c r="C74">
        <v>3</v>
      </c>
      <c r="D74">
        <v>30</v>
      </c>
      <c r="E74" t="b">
        <v>1</v>
      </c>
      <c r="F74" s="1" t="s">
        <v>80</v>
      </c>
    </row>
    <row r="75" spans="1:6" x14ac:dyDescent="0.3">
      <c r="A75" s="1" t="s">
        <v>407</v>
      </c>
      <c r="B75" s="1" t="s">
        <v>122</v>
      </c>
      <c r="C75">
        <v>3</v>
      </c>
      <c r="D75">
        <v>15</v>
      </c>
      <c r="E75" t="b">
        <v>0</v>
      </c>
      <c r="F75" s="1" t="s">
        <v>123</v>
      </c>
    </row>
    <row r="76" spans="1:6" x14ac:dyDescent="0.3">
      <c r="A76" s="1" t="s">
        <v>408</v>
      </c>
      <c r="B76" s="1" t="s">
        <v>124</v>
      </c>
      <c r="C76">
        <v>2</v>
      </c>
      <c r="D76">
        <v>15</v>
      </c>
      <c r="E76" t="b">
        <v>0</v>
      </c>
      <c r="F76" s="1" t="s">
        <v>10</v>
      </c>
    </row>
    <row r="77" spans="1:6" x14ac:dyDescent="0.3">
      <c r="A77" s="1" t="s">
        <v>409</v>
      </c>
      <c r="B77" s="1" t="s">
        <v>125</v>
      </c>
      <c r="C77">
        <v>2</v>
      </c>
      <c r="D77">
        <v>0</v>
      </c>
      <c r="E77" t="b">
        <v>0</v>
      </c>
      <c r="F77" s="1" t="s">
        <v>126</v>
      </c>
    </row>
    <row r="78" spans="1:6" x14ac:dyDescent="0.3">
      <c r="A78" s="1" t="s">
        <v>410</v>
      </c>
      <c r="B78" s="1" t="s">
        <v>127</v>
      </c>
      <c r="C78">
        <v>4</v>
      </c>
      <c r="D78">
        <v>10</v>
      </c>
      <c r="E78" t="b">
        <v>1</v>
      </c>
      <c r="F78" s="1" t="s">
        <v>128</v>
      </c>
    </row>
    <row r="79" spans="1:6" x14ac:dyDescent="0.3">
      <c r="A79" s="1" t="s">
        <v>411</v>
      </c>
      <c r="B79" s="1" t="s">
        <v>129</v>
      </c>
      <c r="C79">
        <v>7</v>
      </c>
      <c r="D79">
        <v>10</v>
      </c>
      <c r="E79" t="b">
        <v>1</v>
      </c>
      <c r="F79" s="1" t="s">
        <v>68</v>
      </c>
    </row>
    <row r="80" spans="1:6" x14ac:dyDescent="0.3">
      <c r="A80" s="1" t="s">
        <v>412</v>
      </c>
      <c r="B80" s="1" t="s">
        <v>130</v>
      </c>
      <c r="C80">
        <v>2</v>
      </c>
      <c r="D80">
        <v>5</v>
      </c>
      <c r="E80" t="b">
        <v>0</v>
      </c>
      <c r="F80" s="1" t="s">
        <v>27</v>
      </c>
    </row>
    <row r="81" spans="1:6" x14ac:dyDescent="0.3">
      <c r="A81" s="1" t="s">
        <v>413</v>
      </c>
      <c r="B81" s="1" t="s">
        <v>131</v>
      </c>
      <c r="C81">
        <v>8</v>
      </c>
      <c r="D81">
        <v>5</v>
      </c>
      <c r="E81" t="b">
        <v>0</v>
      </c>
      <c r="F81" s="1" t="s">
        <v>42</v>
      </c>
    </row>
    <row r="82" spans="1:6" x14ac:dyDescent="0.3">
      <c r="A82" s="1" t="s">
        <v>414</v>
      </c>
      <c r="B82" s="1" t="s">
        <v>132</v>
      </c>
      <c r="C82">
        <v>4</v>
      </c>
      <c r="D82">
        <v>10</v>
      </c>
      <c r="E82" t="b">
        <v>0</v>
      </c>
      <c r="F82" s="1" t="s">
        <v>106</v>
      </c>
    </row>
    <row r="83" spans="1:6" x14ac:dyDescent="0.3">
      <c r="A83" s="1" t="s">
        <v>415</v>
      </c>
      <c r="B83" s="1" t="s">
        <v>133</v>
      </c>
      <c r="C83">
        <v>3</v>
      </c>
      <c r="D83">
        <v>10</v>
      </c>
      <c r="E83" t="b">
        <v>0</v>
      </c>
      <c r="F83" s="1" t="s">
        <v>106</v>
      </c>
    </row>
    <row r="84" spans="1:6" x14ac:dyDescent="0.3">
      <c r="A84" s="1" t="s">
        <v>416</v>
      </c>
      <c r="B84" s="1" t="s">
        <v>134</v>
      </c>
      <c r="C84">
        <v>4</v>
      </c>
      <c r="D84">
        <v>25</v>
      </c>
      <c r="E84" t="b">
        <v>0</v>
      </c>
      <c r="F84" s="1" t="s">
        <v>94</v>
      </c>
    </row>
    <row r="85" spans="1:6" x14ac:dyDescent="0.3">
      <c r="A85" s="1" t="s">
        <v>417</v>
      </c>
      <c r="B85" s="1" t="s">
        <v>135</v>
      </c>
      <c r="C85">
        <v>3</v>
      </c>
      <c r="D85">
        <v>20</v>
      </c>
      <c r="E85" t="b">
        <v>0</v>
      </c>
      <c r="F85" s="1" t="s">
        <v>68</v>
      </c>
    </row>
    <row r="86" spans="1:6" x14ac:dyDescent="0.3">
      <c r="A86" s="1" t="s">
        <v>418</v>
      </c>
      <c r="B86" s="1" t="s">
        <v>136</v>
      </c>
      <c r="C86">
        <v>1</v>
      </c>
      <c r="D86">
        <v>30</v>
      </c>
      <c r="E86" t="b">
        <v>0</v>
      </c>
      <c r="F86" s="1" t="s">
        <v>84</v>
      </c>
    </row>
    <row r="87" spans="1:6" x14ac:dyDescent="0.3">
      <c r="A87" s="1" t="s">
        <v>419</v>
      </c>
      <c r="B87" s="1" t="s">
        <v>137</v>
      </c>
      <c r="C87">
        <v>6</v>
      </c>
      <c r="D87">
        <v>15</v>
      </c>
      <c r="E87" t="b">
        <v>1</v>
      </c>
      <c r="F87" s="1" t="s">
        <v>84</v>
      </c>
    </row>
    <row r="88" spans="1:6" x14ac:dyDescent="0.3">
      <c r="A88" s="1" t="s">
        <v>420</v>
      </c>
      <c r="B88" s="1" t="s">
        <v>138</v>
      </c>
      <c r="C88">
        <v>4</v>
      </c>
      <c r="D88">
        <v>30</v>
      </c>
      <c r="E88" t="b">
        <v>0</v>
      </c>
      <c r="F88" s="1" t="s">
        <v>10</v>
      </c>
    </row>
    <row r="89" spans="1:6" x14ac:dyDescent="0.3">
      <c r="A89" s="1" t="s">
        <v>421</v>
      </c>
      <c r="B89" s="1" t="s">
        <v>139</v>
      </c>
      <c r="C89">
        <v>4</v>
      </c>
      <c r="D89">
        <v>20</v>
      </c>
      <c r="E89" t="b">
        <v>0</v>
      </c>
      <c r="F89" s="1" t="s">
        <v>119</v>
      </c>
    </row>
    <row r="90" spans="1:6" x14ac:dyDescent="0.3">
      <c r="A90" s="1" t="s">
        <v>422</v>
      </c>
      <c r="B90" s="1" t="s">
        <v>140</v>
      </c>
      <c r="C90">
        <v>3</v>
      </c>
      <c r="D90">
        <v>5</v>
      </c>
      <c r="E90" t="b">
        <v>0</v>
      </c>
      <c r="F90" s="1" t="s">
        <v>52</v>
      </c>
    </row>
    <row r="91" spans="1:6" x14ac:dyDescent="0.3">
      <c r="A91" s="1" t="s">
        <v>423</v>
      </c>
      <c r="B91" s="1" t="s">
        <v>141</v>
      </c>
      <c r="C91">
        <v>3</v>
      </c>
      <c r="D91">
        <v>25</v>
      </c>
      <c r="E91" t="b">
        <v>0</v>
      </c>
      <c r="F91" s="1" t="s">
        <v>27</v>
      </c>
    </row>
    <row r="92" spans="1:6" x14ac:dyDescent="0.3">
      <c r="A92" s="1" t="s">
        <v>424</v>
      </c>
      <c r="B92" s="1" t="s">
        <v>142</v>
      </c>
      <c r="C92">
        <v>3</v>
      </c>
      <c r="D92">
        <v>15</v>
      </c>
      <c r="E92" t="b">
        <v>0</v>
      </c>
      <c r="F92" s="1" t="s">
        <v>143</v>
      </c>
    </row>
    <row r="93" spans="1:6" x14ac:dyDescent="0.3">
      <c r="A93" s="1" t="s">
        <v>425</v>
      </c>
      <c r="B93" s="1" t="s">
        <v>144</v>
      </c>
      <c r="C93">
        <v>5</v>
      </c>
      <c r="D93">
        <v>25</v>
      </c>
      <c r="E93" t="b">
        <v>1</v>
      </c>
      <c r="F93" s="1" t="s">
        <v>84</v>
      </c>
    </row>
    <row r="94" spans="1:6" x14ac:dyDescent="0.3">
      <c r="A94" s="1" t="s">
        <v>426</v>
      </c>
      <c r="B94" s="1" t="s">
        <v>145</v>
      </c>
      <c r="C94">
        <v>5</v>
      </c>
      <c r="D94">
        <v>10</v>
      </c>
      <c r="E94" t="b">
        <v>0</v>
      </c>
      <c r="F94" s="1" t="s">
        <v>71</v>
      </c>
    </row>
    <row r="95" spans="1:6" x14ac:dyDescent="0.3">
      <c r="A95" s="1" t="s">
        <v>427</v>
      </c>
      <c r="B95" s="1" t="s">
        <v>146</v>
      </c>
      <c r="C95">
        <v>9</v>
      </c>
      <c r="D95">
        <v>5</v>
      </c>
      <c r="E95" t="b">
        <v>0</v>
      </c>
      <c r="F95" s="1" t="s">
        <v>123</v>
      </c>
    </row>
    <row r="96" spans="1:6" x14ac:dyDescent="0.3">
      <c r="A96" s="1" t="s">
        <v>428</v>
      </c>
      <c r="B96" s="1" t="s">
        <v>147</v>
      </c>
      <c r="C96">
        <v>1</v>
      </c>
      <c r="D96">
        <v>20</v>
      </c>
      <c r="E96" t="b">
        <v>0</v>
      </c>
      <c r="F96" s="1" t="s">
        <v>25</v>
      </c>
    </row>
    <row r="97" spans="1:6" x14ac:dyDescent="0.3">
      <c r="A97" s="1" t="s">
        <v>429</v>
      </c>
      <c r="B97" s="1" t="s">
        <v>148</v>
      </c>
      <c r="C97">
        <v>7</v>
      </c>
      <c r="D97">
        <v>25</v>
      </c>
      <c r="E97" t="b">
        <v>1</v>
      </c>
      <c r="F97" s="1" t="s">
        <v>10</v>
      </c>
    </row>
    <row r="98" spans="1:6" x14ac:dyDescent="0.3">
      <c r="A98" s="1" t="s">
        <v>430</v>
      </c>
      <c r="B98" s="1" t="s">
        <v>149</v>
      </c>
      <c r="C98">
        <v>4</v>
      </c>
      <c r="D98">
        <v>0</v>
      </c>
      <c r="E98" t="b">
        <v>0</v>
      </c>
      <c r="F98" s="1" t="s">
        <v>96</v>
      </c>
    </row>
    <row r="99" spans="1:6" x14ac:dyDescent="0.3">
      <c r="A99" s="1" t="s">
        <v>431</v>
      </c>
      <c r="B99" s="1" t="s">
        <v>150</v>
      </c>
      <c r="C99">
        <v>9</v>
      </c>
      <c r="D99">
        <v>0</v>
      </c>
      <c r="E99" t="b">
        <v>1</v>
      </c>
      <c r="F99" s="1" t="s">
        <v>151</v>
      </c>
    </row>
    <row r="100" spans="1:6" x14ac:dyDescent="0.3">
      <c r="A100" s="1" t="s">
        <v>432</v>
      </c>
      <c r="B100" s="1" t="s">
        <v>152</v>
      </c>
      <c r="C100">
        <v>4</v>
      </c>
      <c r="D100">
        <v>10</v>
      </c>
      <c r="E100" t="b">
        <v>0</v>
      </c>
      <c r="F100" s="1" t="s">
        <v>58</v>
      </c>
    </row>
    <row r="101" spans="1:6" x14ac:dyDescent="0.3">
      <c r="A101" s="1" t="s">
        <v>433</v>
      </c>
      <c r="B101" s="1" t="s">
        <v>153</v>
      </c>
      <c r="C101">
        <v>3</v>
      </c>
      <c r="D101">
        <v>30</v>
      </c>
      <c r="E101" t="b">
        <v>1</v>
      </c>
      <c r="F101" s="1" t="s">
        <v>47</v>
      </c>
    </row>
    <row r="102" spans="1:6" x14ac:dyDescent="0.3">
      <c r="A102" s="1" t="s">
        <v>434</v>
      </c>
      <c r="B102" s="1" t="s">
        <v>154</v>
      </c>
      <c r="C102">
        <v>5</v>
      </c>
      <c r="D102">
        <v>25</v>
      </c>
      <c r="E102" t="b">
        <v>0</v>
      </c>
      <c r="F102" s="1" t="s">
        <v>80</v>
      </c>
    </row>
    <row r="103" spans="1:6" x14ac:dyDescent="0.3">
      <c r="A103" s="1" t="s">
        <v>435</v>
      </c>
      <c r="B103" s="1" t="s">
        <v>155</v>
      </c>
      <c r="C103">
        <v>2</v>
      </c>
      <c r="D103">
        <v>5</v>
      </c>
      <c r="E103" t="b">
        <v>0</v>
      </c>
      <c r="F103" s="1" t="s">
        <v>31</v>
      </c>
    </row>
    <row r="104" spans="1:6" x14ac:dyDescent="0.3">
      <c r="A104" s="1" t="s">
        <v>436</v>
      </c>
      <c r="B104" s="1" t="s">
        <v>156</v>
      </c>
      <c r="C104">
        <v>4</v>
      </c>
      <c r="D104">
        <v>30</v>
      </c>
      <c r="E104" t="b">
        <v>0</v>
      </c>
      <c r="F104" s="1" t="s">
        <v>52</v>
      </c>
    </row>
    <row r="105" spans="1:6" x14ac:dyDescent="0.3">
      <c r="A105" s="1" t="s">
        <v>437</v>
      </c>
      <c r="B105" s="1" t="s">
        <v>157</v>
      </c>
      <c r="C105">
        <v>3</v>
      </c>
      <c r="D105">
        <v>0</v>
      </c>
      <c r="E105" t="b">
        <v>0</v>
      </c>
      <c r="F105" s="1" t="s">
        <v>158</v>
      </c>
    </row>
    <row r="106" spans="1:6" x14ac:dyDescent="0.3">
      <c r="A106" s="1" t="s">
        <v>438</v>
      </c>
      <c r="B106" s="1" t="s">
        <v>159</v>
      </c>
      <c r="C106">
        <v>6</v>
      </c>
      <c r="D106">
        <v>15</v>
      </c>
      <c r="E106" t="b">
        <v>1</v>
      </c>
      <c r="F106" s="1" t="s">
        <v>101</v>
      </c>
    </row>
    <row r="107" spans="1:6" x14ac:dyDescent="0.3">
      <c r="A107" s="1" t="s">
        <v>439</v>
      </c>
      <c r="B107" s="1" t="s">
        <v>160</v>
      </c>
      <c r="C107">
        <v>3</v>
      </c>
      <c r="D107">
        <v>15</v>
      </c>
      <c r="E107" t="b">
        <v>0</v>
      </c>
      <c r="F107" s="1" t="s">
        <v>78</v>
      </c>
    </row>
    <row r="108" spans="1:6" x14ac:dyDescent="0.3">
      <c r="A108" s="1" t="s">
        <v>440</v>
      </c>
      <c r="B108" s="1" t="s">
        <v>161</v>
      </c>
      <c r="C108">
        <v>5</v>
      </c>
      <c r="D108">
        <v>20</v>
      </c>
      <c r="E108" t="b">
        <v>0</v>
      </c>
      <c r="F108" s="1" t="s">
        <v>63</v>
      </c>
    </row>
    <row r="109" spans="1:6" x14ac:dyDescent="0.3">
      <c r="A109" s="1" t="s">
        <v>441</v>
      </c>
      <c r="B109" s="1" t="s">
        <v>162</v>
      </c>
      <c r="C109">
        <v>4</v>
      </c>
      <c r="D109">
        <v>10</v>
      </c>
      <c r="E109" t="b">
        <v>0</v>
      </c>
      <c r="F109" s="1" t="s">
        <v>49</v>
      </c>
    </row>
    <row r="110" spans="1:6" x14ac:dyDescent="0.3">
      <c r="A110" s="1" t="s">
        <v>442</v>
      </c>
      <c r="B110" s="1" t="s">
        <v>163</v>
      </c>
      <c r="C110">
        <v>6</v>
      </c>
      <c r="D110">
        <v>25</v>
      </c>
      <c r="E110" t="b">
        <v>0</v>
      </c>
      <c r="F110" s="1" t="s">
        <v>49</v>
      </c>
    </row>
    <row r="111" spans="1:6" x14ac:dyDescent="0.3">
      <c r="A111" s="1" t="s">
        <v>443</v>
      </c>
      <c r="B111" s="1" t="s">
        <v>164</v>
      </c>
      <c r="C111">
        <v>5</v>
      </c>
      <c r="D111">
        <v>20</v>
      </c>
      <c r="E111" t="b">
        <v>0</v>
      </c>
      <c r="F111" s="1" t="s">
        <v>16</v>
      </c>
    </row>
    <row r="112" spans="1:6" x14ac:dyDescent="0.3">
      <c r="A112" s="1" t="s">
        <v>444</v>
      </c>
      <c r="B112" s="1" t="s">
        <v>165</v>
      </c>
      <c r="C112">
        <v>5</v>
      </c>
      <c r="D112">
        <v>15</v>
      </c>
      <c r="E112" t="b">
        <v>0</v>
      </c>
      <c r="F112" s="1" t="s">
        <v>8</v>
      </c>
    </row>
    <row r="113" spans="1:6" x14ac:dyDescent="0.3">
      <c r="A113" s="1" t="s">
        <v>445</v>
      </c>
      <c r="B113" s="1" t="s">
        <v>166</v>
      </c>
      <c r="C113">
        <v>4</v>
      </c>
      <c r="D113">
        <v>20</v>
      </c>
      <c r="E113" t="b">
        <v>0</v>
      </c>
      <c r="F113" s="1" t="s">
        <v>33</v>
      </c>
    </row>
    <row r="114" spans="1:6" x14ac:dyDescent="0.3">
      <c r="A114" s="1" t="s">
        <v>446</v>
      </c>
      <c r="B114" s="1" t="s">
        <v>167</v>
      </c>
      <c r="C114">
        <v>4</v>
      </c>
      <c r="D114">
        <v>10</v>
      </c>
      <c r="E114" t="b">
        <v>0</v>
      </c>
      <c r="F114" s="1" t="s">
        <v>168</v>
      </c>
    </row>
    <row r="115" spans="1:6" x14ac:dyDescent="0.3">
      <c r="A115" s="1" t="s">
        <v>447</v>
      </c>
      <c r="B115" s="1" t="s">
        <v>169</v>
      </c>
      <c r="C115">
        <v>2</v>
      </c>
      <c r="D115">
        <v>30</v>
      </c>
      <c r="E115" t="b">
        <v>0</v>
      </c>
      <c r="F115" s="1" t="s">
        <v>80</v>
      </c>
    </row>
    <row r="116" spans="1:6" x14ac:dyDescent="0.3">
      <c r="A116" s="1" t="s">
        <v>448</v>
      </c>
      <c r="B116" s="1" t="s">
        <v>170</v>
      </c>
      <c r="C116">
        <v>7</v>
      </c>
      <c r="D116">
        <v>25</v>
      </c>
      <c r="E116" t="b">
        <v>1</v>
      </c>
      <c r="F116" s="1" t="s">
        <v>37</v>
      </c>
    </row>
    <row r="117" spans="1:6" x14ac:dyDescent="0.3">
      <c r="A117" s="1" t="s">
        <v>449</v>
      </c>
      <c r="B117" s="1" t="s">
        <v>171</v>
      </c>
      <c r="C117">
        <v>3</v>
      </c>
      <c r="D117">
        <v>0</v>
      </c>
      <c r="E117" t="b">
        <v>1</v>
      </c>
      <c r="F117" s="1" t="s">
        <v>172</v>
      </c>
    </row>
    <row r="118" spans="1:6" x14ac:dyDescent="0.3">
      <c r="A118" s="1" t="s">
        <v>450</v>
      </c>
      <c r="B118" s="1" t="s">
        <v>173</v>
      </c>
      <c r="C118">
        <v>5</v>
      </c>
      <c r="D118">
        <v>10</v>
      </c>
      <c r="E118" t="b">
        <v>0</v>
      </c>
      <c r="F118" s="1" t="s">
        <v>71</v>
      </c>
    </row>
    <row r="119" spans="1:6" x14ac:dyDescent="0.3">
      <c r="A119" s="1" t="s">
        <v>451</v>
      </c>
      <c r="B119" s="1" t="s">
        <v>174</v>
      </c>
      <c r="C119">
        <v>8</v>
      </c>
      <c r="D119">
        <v>10</v>
      </c>
      <c r="E119" t="b">
        <v>0</v>
      </c>
      <c r="F119" s="1" t="s">
        <v>82</v>
      </c>
    </row>
    <row r="120" spans="1:6" x14ac:dyDescent="0.3">
      <c r="A120" s="1" t="s">
        <v>452</v>
      </c>
      <c r="B120" s="1" t="s">
        <v>175</v>
      </c>
      <c r="C120">
        <v>2</v>
      </c>
      <c r="D120">
        <v>20</v>
      </c>
      <c r="E120" t="b">
        <v>0</v>
      </c>
      <c r="F120" s="1" t="s">
        <v>37</v>
      </c>
    </row>
    <row r="121" spans="1:6" x14ac:dyDescent="0.3">
      <c r="A121" s="1" t="s">
        <v>453</v>
      </c>
      <c r="B121" s="1" t="s">
        <v>176</v>
      </c>
      <c r="C121">
        <v>3</v>
      </c>
      <c r="D121">
        <v>10</v>
      </c>
      <c r="E121" t="b">
        <v>0</v>
      </c>
      <c r="F121" s="1" t="s">
        <v>47</v>
      </c>
    </row>
    <row r="122" spans="1:6" x14ac:dyDescent="0.3">
      <c r="A122" s="1" t="s">
        <v>454</v>
      </c>
      <c r="B122" s="1" t="s">
        <v>177</v>
      </c>
      <c r="C122">
        <v>4</v>
      </c>
      <c r="D122">
        <v>20</v>
      </c>
      <c r="E122" t="b">
        <v>0</v>
      </c>
      <c r="F122" s="1" t="s">
        <v>8</v>
      </c>
    </row>
    <row r="123" spans="1:6" x14ac:dyDescent="0.3">
      <c r="A123" s="1" t="s">
        <v>455</v>
      </c>
      <c r="B123" s="1" t="s">
        <v>178</v>
      </c>
      <c r="C123">
        <v>6</v>
      </c>
      <c r="D123">
        <v>30</v>
      </c>
      <c r="E123" t="b">
        <v>0</v>
      </c>
      <c r="F123" s="1" t="s">
        <v>37</v>
      </c>
    </row>
    <row r="124" spans="1:6" x14ac:dyDescent="0.3">
      <c r="A124" s="1" t="s">
        <v>456</v>
      </c>
      <c r="B124" s="1" t="s">
        <v>179</v>
      </c>
      <c r="C124">
        <v>4</v>
      </c>
      <c r="D124">
        <v>0</v>
      </c>
      <c r="E124" t="b">
        <v>0</v>
      </c>
      <c r="F124" s="1" t="s">
        <v>96</v>
      </c>
    </row>
    <row r="125" spans="1:6" x14ac:dyDescent="0.3">
      <c r="A125" s="1" t="s">
        <v>457</v>
      </c>
      <c r="B125" s="1" t="s">
        <v>180</v>
      </c>
      <c r="C125">
        <v>4</v>
      </c>
      <c r="D125">
        <v>15</v>
      </c>
      <c r="E125" t="b">
        <v>0</v>
      </c>
      <c r="F125" s="1" t="s">
        <v>42</v>
      </c>
    </row>
    <row r="126" spans="1:6" x14ac:dyDescent="0.3">
      <c r="A126" s="1" t="s">
        <v>458</v>
      </c>
      <c r="B126" s="1" t="s">
        <v>181</v>
      </c>
      <c r="C126">
        <v>2</v>
      </c>
      <c r="D126">
        <v>10</v>
      </c>
      <c r="E126" t="b">
        <v>1</v>
      </c>
      <c r="F126" s="1" t="s">
        <v>14</v>
      </c>
    </row>
    <row r="127" spans="1:6" x14ac:dyDescent="0.3">
      <c r="A127" s="1" t="s">
        <v>459</v>
      </c>
      <c r="B127" s="1" t="s">
        <v>182</v>
      </c>
      <c r="C127">
        <v>4</v>
      </c>
      <c r="D127">
        <v>5</v>
      </c>
      <c r="E127" t="b">
        <v>0</v>
      </c>
      <c r="F127" s="1" t="s">
        <v>49</v>
      </c>
    </row>
    <row r="128" spans="1:6" x14ac:dyDescent="0.3">
      <c r="A128" s="1" t="s">
        <v>460</v>
      </c>
      <c r="B128" s="1" t="s">
        <v>183</v>
      </c>
      <c r="C128">
        <v>3</v>
      </c>
      <c r="D128">
        <v>5</v>
      </c>
      <c r="E128" t="b">
        <v>0</v>
      </c>
      <c r="F128" s="1" t="s">
        <v>128</v>
      </c>
    </row>
    <row r="129" spans="1:6" x14ac:dyDescent="0.3">
      <c r="A129" s="1" t="s">
        <v>461</v>
      </c>
      <c r="B129" s="1" t="s">
        <v>184</v>
      </c>
      <c r="C129">
        <v>7</v>
      </c>
      <c r="D129">
        <v>0</v>
      </c>
      <c r="E129" t="b">
        <v>0</v>
      </c>
      <c r="F129" s="1" t="s">
        <v>42</v>
      </c>
    </row>
    <row r="130" spans="1:6" x14ac:dyDescent="0.3">
      <c r="A130" s="1" t="s">
        <v>462</v>
      </c>
      <c r="B130" s="1" t="s">
        <v>185</v>
      </c>
      <c r="C130">
        <v>3</v>
      </c>
      <c r="D130">
        <v>25</v>
      </c>
      <c r="E130" t="b">
        <v>0</v>
      </c>
      <c r="F130" s="1" t="s">
        <v>39</v>
      </c>
    </row>
    <row r="131" spans="1:6" x14ac:dyDescent="0.3">
      <c r="A131" s="1" t="s">
        <v>463</v>
      </c>
      <c r="B131" s="1" t="s">
        <v>186</v>
      </c>
      <c r="C131">
        <v>3</v>
      </c>
      <c r="D131">
        <v>5</v>
      </c>
      <c r="E131" t="b">
        <v>0</v>
      </c>
      <c r="F131" s="1" t="s">
        <v>56</v>
      </c>
    </row>
    <row r="132" spans="1:6" x14ac:dyDescent="0.3">
      <c r="A132" s="1" t="s">
        <v>464</v>
      </c>
      <c r="B132" s="1" t="s">
        <v>187</v>
      </c>
      <c r="C132">
        <v>8</v>
      </c>
      <c r="D132">
        <v>25</v>
      </c>
      <c r="E132" t="b">
        <v>0</v>
      </c>
      <c r="F132" s="1" t="s">
        <v>58</v>
      </c>
    </row>
    <row r="133" spans="1:6" x14ac:dyDescent="0.3">
      <c r="A133" s="1" t="s">
        <v>465</v>
      </c>
      <c r="B133" s="1" t="s">
        <v>188</v>
      </c>
      <c r="C133">
        <v>1</v>
      </c>
      <c r="D133">
        <v>20</v>
      </c>
      <c r="E133" t="b">
        <v>0</v>
      </c>
      <c r="F133" s="1" t="s">
        <v>189</v>
      </c>
    </row>
    <row r="134" spans="1:6" x14ac:dyDescent="0.3">
      <c r="A134" s="1" t="s">
        <v>466</v>
      </c>
      <c r="B134" s="1" t="s">
        <v>190</v>
      </c>
      <c r="C134">
        <v>4</v>
      </c>
      <c r="D134">
        <v>5</v>
      </c>
      <c r="E134" t="b">
        <v>0</v>
      </c>
      <c r="F134" s="1" t="s">
        <v>168</v>
      </c>
    </row>
    <row r="135" spans="1:6" x14ac:dyDescent="0.3">
      <c r="A135" s="1" t="s">
        <v>467</v>
      </c>
      <c r="B135" s="1" t="s">
        <v>191</v>
      </c>
      <c r="C135">
        <v>5</v>
      </c>
      <c r="D135">
        <v>15</v>
      </c>
      <c r="E135" t="b">
        <v>0</v>
      </c>
      <c r="F135" s="1" t="s">
        <v>71</v>
      </c>
    </row>
    <row r="136" spans="1:6" x14ac:dyDescent="0.3">
      <c r="A136" s="1" t="s">
        <v>468</v>
      </c>
      <c r="B136" s="1" t="s">
        <v>192</v>
      </c>
      <c r="C136">
        <v>2</v>
      </c>
      <c r="D136">
        <v>15</v>
      </c>
      <c r="E136" t="b">
        <v>0</v>
      </c>
      <c r="F136" s="1" t="s">
        <v>31</v>
      </c>
    </row>
    <row r="137" spans="1:6" x14ac:dyDescent="0.3">
      <c r="A137" s="1" t="s">
        <v>469</v>
      </c>
      <c r="B137" s="1" t="s">
        <v>193</v>
      </c>
      <c r="C137">
        <v>4</v>
      </c>
      <c r="D137">
        <v>20</v>
      </c>
      <c r="E137" t="b">
        <v>0</v>
      </c>
      <c r="F137" s="1" t="s">
        <v>29</v>
      </c>
    </row>
    <row r="138" spans="1:6" x14ac:dyDescent="0.3">
      <c r="A138" s="1" t="s">
        <v>470</v>
      </c>
      <c r="B138" s="1" t="s">
        <v>194</v>
      </c>
      <c r="C138">
        <v>3</v>
      </c>
      <c r="D138">
        <v>20</v>
      </c>
      <c r="E138" t="b">
        <v>0</v>
      </c>
      <c r="F138" s="1" t="s">
        <v>25</v>
      </c>
    </row>
    <row r="139" spans="1:6" x14ac:dyDescent="0.3">
      <c r="A139" s="1" t="s">
        <v>471</v>
      </c>
      <c r="B139" s="1" t="s">
        <v>195</v>
      </c>
      <c r="C139">
        <v>1</v>
      </c>
      <c r="D139">
        <v>5</v>
      </c>
      <c r="E139" t="b">
        <v>0</v>
      </c>
      <c r="F139" s="1" t="s">
        <v>44</v>
      </c>
    </row>
    <row r="140" spans="1:6" x14ac:dyDescent="0.3">
      <c r="A140" s="1" t="s">
        <v>472</v>
      </c>
      <c r="B140" s="1" t="s">
        <v>196</v>
      </c>
      <c r="C140">
        <v>5</v>
      </c>
      <c r="D140">
        <v>5</v>
      </c>
      <c r="E140" t="b">
        <v>0</v>
      </c>
      <c r="F140" s="1" t="s">
        <v>197</v>
      </c>
    </row>
    <row r="141" spans="1:6" x14ac:dyDescent="0.3">
      <c r="A141" s="1" t="s">
        <v>473</v>
      </c>
      <c r="B141" s="1" t="s">
        <v>198</v>
      </c>
      <c r="C141">
        <v>4</v>
      </c>
      <c r="D141">
        <v>5</v>
      </c>
      <c r="E141" t="b">
        <v>0</v>
      </c>
      <c r="F141" s="1" t="s">
        <v>33</v>
      </c>
    </row>
    <row r="142" spans="1:6" x14ac:dyDescent="0.3">
      <c r="A142" s="1" t="s">
        <v>474</v>
      </c>
      <c r="B142" s="1" t="s">
        <v>199</v>
      </c>
      <c r="C142">
        <v>8</v>
      </c>
      <c r="D142">
        <v>0</v>
      </c>
      <c r="E142" t="b">
        <v>0</v>
      </c>
      <c r="F142" s="1" t="s">
        <v>71</v>
      </c>
    </row>
    <row r="143" spans="1:6" x14ac:dyDescent="0.3">
      <c r="A143" s="1" t="s">
        <v>475</v>
      </c>
      <c r="B143" s="1" t="s">
        <v>200</v>
      </c>
      <c r="C143">
        <v>6</v>
      </c>
      <c r="D143">
        <v>15</v>
      </c>
      <c r="E143" t="b">
        <v>0</v>
      </c>
      <c r="F143" s="1" t="s">
        <v>18</v>
      </c>
    </row>
    <row r="144" spans="1:6" x14ac:dyDescent="0.3">
      <c r="A144" s="1" t="s">
        <v>476</v>
      </c>
      <c r="B144" s="1" t="s">
        <v>201</v>
      </c>
      <c r="C144">
        <v>7</v>
      </c>
      <c r="D144">
        <v>5</v>
      </c>
      <c r="E144" t="b">
        <v>0</v>
      </c>
      <c r="F144" s="1" t="s">
        <v>84</v>
      </c>
    </row>
    <row r="145" spans="1:6" x14ac:dyDescent="0.3">
      <c r="A145" s="1" t="s">
        <v>477</v>
      </c>
      <c r="B145" s="1" t="s">
        <v>202</v>
      </c>
      <c r="C145">
        <v>6</v>
      </c>
      <c r="D145">
        <v>30</v>
      </c>
      <c r="E145" t="b">
        <v>0</v>
      </c>
      <c r="F145" s="1" t="s">
        <v>203</v>
      </c>
    </row>
    <row r="146" spans="1:6" x14ac:dyDescent="0.3">
      <c r="A146" s="1" t="s">
        <v>478</v>
      </c>
      <c r="B146" s="1" t="s">
        <v>204</v>
      </c>
      <c r="C146">
        <v>5</v>
      </c>
      <c r="D146">
        <v>20</v>
      </c>
      <c r="E146" t="b">
        <v>0</v>
      </c>
      <c r="F146" s="1" t="s">
        <v>123</v>
      </c>
    </row>
    <row r="147" spans="1:6" x14ac:dyDescent="0.3">
      <c r="A147" s="1" t="s">
        <v>479</v>
      </c>
      <c r="B147" s="1" t="s">
        <v>205</v>
      </c>
      <c r="C147">
        <v>2</v>
      </c>
      <c r="D147">
        <v>0</v>
      </c>
      <c r="E147" t="b">
        <v>0</v>
      </c>
      <c r="F147" s="1" t="s">
        <v>206</v>
      </c>
    </row>
    <row r="148" spans="1:6" x14ac:dyDescent="0.3">
      <c r="A148" s="1" t="s">
        <v>480</v>
      </c>
      <c r="B148" s="1" t="s">
        <v>207</v>
      </c>
      <c r="C148">
        <v>3</v>
      </c>
      <c r="D148">
        <v>25</v>
      </c>
      <c r="E148" t="b">
        <v>0</v>
      </c>
      <c r="F148" s="1" t="s">
        <v>68</v>
      </c>
    </row>
    <row r="149" spans="1:6" x14ac:dyDescent="0.3">
      <c r="A149" s="1" t="s">
        <v>481</v>
      </c>
      <c r="B149" s="1" t="s">
        <v>208</v>
      </c>
      <c r="C149">
        <v>4</v>
      </c>
      <c r="D149">
        <v>0</v>
      </c>
      <c r="E149" t="b">
        <v>0</v>
      </c>
      <c r="F149" s="1" t="s">
        <v>104</v>
      </c>
    </row>
    <row r="150" spans="1:6" x14ac:dyDescent="0.3">
      <c r="A150" s="1" t="s">
        <v>482</v>
      </c>
      <c r="B150" s="1" t="s">
        <v>209</v>
      </c>
      <c r="C150">
        <v>5</v>
      </c>
      <c r="D150">
        <v>20</v>
      </c>
      <c r="E150" t="b">
        <v>0</v>
      </c>
      <c r="F150" s="1" t="s">
        <v>104</v>
      </c>
    </row>
    <row r="151" spans="1:6" x14ac:dyDescent="0.3">
      <c r="A151" s="1" t="s">
        <v>483</v>
      </c>
      <c r="B151" s="1" t="s">
        <v>210</v>
      </c>
      <c r="C151">
        <v>7</v>
      </c>
      <c r="D151">
        <v>30</v>
      </c>
      <c r="E151" t="b">
        <v>0</v>
      </c>
      <c r="F151" s="1" t="s">
        <v>16</v>
      </c>
    </row>
    <row r="152" spans="1:6" x14ac:dyDescent="0.3">
      <c r="A152" s="1" t="s">
        <v>484</v>
      </c>
      <c r="B152" s="1" t="s">
        <v>211</v>
      </c>
      <c r="C152">
        <v>3</v>
      </c>
      <c r="D152">
        <v>0</v>
      </c>
      <c r="E152" t="b">
        <v>0</v>
      </c>
      <c r="F152" s="1" t="s">
        <v>212</v>
      </c>
    </row>
    <row r="153" spans="1:6" x14ac:dyDescent="0.3">
      <c r="A153" s="1" t="s">
        <v>485</v>
      </c>
      <c r="B153" s="1" t="s">
        <v>213</v>
      </c>
      <c r="C153">
        <v>3</v>
      </c>
      <c r="D153">
        <v>0</v>
      </c>
      <c r="E153" t="b">
        <v>0</v>
      </c>
      <c r="F153" s="1" t="s">
        <v>104</v>
      </c>
    </row>
    <row r="154" spans="1:6" x14ac:dyDescent="0.3">
      <c r="A154" s="1" t="s">
        <v>486</v>
      </c>
      <c r="B154" s="1" t="s">
        <v>214</v>
      </c>
      <c r="C154">
        <v>4</v>
      </c>
      <c r="D154">
        <v>30</v>
      </c>
      <c r="E154" t="b">
        <v>1</v>
      </c>
      <c r="F154" s="1" t="s">
        <v>10</v>
      </c>
    </row>
    <row r="155" spans="1:6" x14ac:dyDescent="0.3">
      <c r="A155" s="1" t="s">
        <v>487</v>
      </c>
      <c r="B155" s="1" t="s">
        <v>215</v>
      </c>
      <c r="C155">
        <v>2</v>
      </c>
      <c r="D155">
        <v>25</v>
      </c>
      <c r="E155" t="b">
        <v>0</v>
      </c>
      <c r="F155" s="1" t="s">
        <v>216</v>
      </c>
    </row>
    <row r="156" spans="1:6" x14ac:dyDescent="0.3">
      <c r="A156" s="1" t="s">
        <v>488</v>
      </c>
      <c r="B156" s="1" t="s">
        <v>217</v>
      </c>
      <c r="C156">
        <v>6</v>
      </c>
      <c r="D156">
        <v>5</v>
      </c>
      <c r="E156" t="b">
        <v>0</v>
      </c>
      <c r="F156" s="1" t="s">
        <v>218</v>
      </c>
    </row>
    <row r="157" spans="1:6" x14ac:dyDescent="0.3">
      <c r="A157" s="1" t="s">
        <v>489</v>
      </c>
      <c r="B157" s="1" t="s">
        <v>219</v>
      </c>
      <c r="C157">
        <v>4</v>
      </c>
      <c r="D157">
        <v>30</v>
      </c>
      <c r="E157" t="b">
        <v>0</v>
      </c>
      <c r="F157" s="1" t="s">
        <v>96</v>
      </c>
    </row>
    <row r="158" spans="1:6" x14ac:dyDescent="0.3">
      <c r="A158" s="1" t="s">
        <v>490</v>
      </c>
      <c r="B158" s="1" t="s">
        <v>220</v>
      </c>
      <c r="C158">
        <v>3</v>
      </c>
      <c r="D158">
        <v>0</v>
      </c>
      <c r="E158" t="b">
        <v>0</v>
      </c>
      <c r="F158" s="1" t="s">
        <v>73</v>
      </c>
    </row>
    <row r="159" spans="1:6" x14ac:dyDescent="0.3">
      <c r="A159" s="1" t="s">
        <v>491</v>
      </c>
      <c r="B159" s="1" t="s">
        <v>221</v>
      </c>
      <c r="C159">
        <v>6</v>
      </c>
      <c r="D159">
        <v>30</v>
      </c>
      <c r="E159" t="b">
        <v>1</v>
      </c>
      <c r="F159" s="1" t="s">
        <v>25</v>
      </c>
    </row>
    <row r="160" spans="1:6" x14ac:dyDescent="0.3">
      <c r="A160" s="1" t="s">
        <v>492</v>
      </c>
      <c r="B160" s="1" t="s">
        <v>222</v>
      </c>
      <c r="C160">
        <v>7</v>
      </c>
      <c r="D160">
        <v>20</v>
      </c>
      <c r="E160" t="b">
        <v>0</v>
      </c>
      <c r="F160" s="1" t="s">
        <v>49</v>
      </c>
    </row>
    <row r="161" spans="1:6" x14ac:dyDescent="0.3">
      <c r="A161" s="1" t="s">
        <v>493</v>
      </c>
      <c r="B161" s="1" t="s">
        <v>223</v>
      </c>
      <c r="C161">
        <v>2</v>
      </c>
      <c r="D161">
        <v>0</v>
      </c>
      <c r="E161" t="b">
        <v>0</v>
      </c>
      <c r="F161" s="1" t="s">
        <v>119</v>
      </c>
    </row>
    <row r="162" spans="1:6" x14ac:dyDescent="0.3">
      <c r="A162" s="1" t="s">
        <v>494</v>
      </c>
      <c r="B162" s="1" t="s">
        <v>224</v>
      </c>
      <c r="C162">
        <v>2</v>
      </c>
      <c r="D162">
        <v>10</v>
      </c>
      <c r="E162" t="b">
        <v>1</v>
      </c>
      <c r="F162" s="1" t="s">
        <v>172</v>
      </c>
    </row>
    <row r="163" spans="1:6" x14ac:dyDescent="0.3">
      <c r="A163" s="1" t="s">
        <v>495</v>
      </c>
      <c r="B163" s="1" t="s">
        <v>225</v>
      </c>
      <c r="C163">
        <v>6</v>
      </c>
      <c r="D163">
        <v>25</v>
      </c>
      <c r="E163" t="b">
        <v>0</v>
      </c>
      <c r="F163" s="1" t="s">
        <v>78</v>
      </c>
    </row>
    <row r="164" spans="1:6" x14ac:dyDescent="0.3">
      <c r="A164" s="1" t="s">
        <v>496</v>
      </c>
      <c r="B164" s="1" t="s">
        <v>226</v>
      </c>
      <c r="C164">
        <v>1</v>
      </c>
      <c r="D164">
        <v>25</v>
      </c>
      <c r="E164" t="b">
        <v>0</v>
      </c>
      <c r="F164" s="1" t="s">
        <v>106</v>
      </c>
    </row>
    <row r="165" spans="1:6" x14ac:dyDescent="0.3">
      <c r="A165" s="1" t="s">
        <v>497</v>
      </c>
      <c r="B165" s="1" t="s">
        <v>227</v>
      </c>
      <c r="C165">
        <v>3</v>
      </c>
      <c r="D165">
        <v>20</v>
      </c>
      <c r="E165" t="b">
        <v>0</v>
      </c>
      <c r="F165" s="1" t="s">
        <v>87</v>
      </c>
    </row>
    <row r="166" spans="1:6" x14ac:dyDescent="0.3">
      <c r="A166" s="1" t="s">
        <v>498</v>
      </c>
      <c r="B166" s="1" t="s">
        <v>228</v>
      </c>
      <c r="C166">
        <v>4</v>
      </c>
      <c r="D166">
        <v>0</v>
      </c>
      <c r="E166" t="b">
        <v>0</v>
      </c>
      <c r="F166" s="1" t="s">
        <v>82</v>
      </c>
    </row>
    <row r="167" spans="1:6" x14ac:dyDescent="0.3">
      <c r="A167" s="1" t="s">
        <v>499</v>
      </c>
      <c r="B167" s="1" t="s">
        <v>229</v>
      </c>
      <c r="C167">
        <v>4</v>
      </c>
      <c r="D167">
        <v>25</v>
      </c>
      <c r="E167" t="b">
        <v>0</v>
      </c>
      <c r="F167" s="1" t="s">
        <v>151</v>
      </c>
    </row>
    <row r="168" spans="1:6" x14ac:dyDescent="0.3">
      <c r="A168" s="1" t="s">
        <v>500</v>
      </c>
      <c r="B168" s="1" t="s">
        <v>230</v>
      </c>
      <c r="C168">
        <v>5</v>
      </c>
      <c r="D168">
        <v>30</v>
      </c>
      <c r="E168" t="b">
        <v>0</v>
      </c>
      <c r="F168" s="1" t="s">
        <v>231</v>
      </c>
    </row>
    <row r="169" spans="1:6" x14ac:dyDescent="0.3">
      <c r="A169" s="1" t="s">
        <v>501</v>
      </c>
      <c r="B169" s="1" t="s">
        <v>232</v>
      </c>
      <c r="C169">
        <v>3</v>
      </c>
      <c r="D169">
        <v>25</v>
      </c>
      <c r="E169" t="b">
        <v>0</v>
      </c>
      <c r="F169" s="1" t="s">
        <v>197</v>
      </c>
    </row>
    <row r="170" spans="1:6" x14ac:dyDescent="0.3">
      <c r="A170" s="1" t="s">
        <v>502</v>
      </c>
      <c r="B170" s="1" t="s">
        <v>233</v>
      </c>
      <c r="C170">
        <v>4</v>
      </c>
      <c r="D170">
        <v>0</v>
      </c>
      <c r="E170" t="b">
        <v>1</v>
      </c>
      <c r="F170" s="1" t="s">
        <v>16</v>
      </c>
    </row>
    <row r="171" spans="1:6" x14ac:dyDescent="0.3">
      <c r="A171" s="1" t="s">
        <v>503</v>
      </c>
      <c r="B171" s="1" t="s">
        <v>234</v>
      </c>
      <c r="C171">
        <v>9</v>
      </c>
      <c r="D171">
        <v>10</v>
      </c>
      <c r="E171" t="b">
        <v>1</v>
      </c>
      <c r="F171" s="1" t="s">
        <v>235</v>
      </c>
    </row>
    <row r="172" spans="1:6" x14ac:dyDescent="0.3">
      <c r="A172" s="1" t="s">
        <v>504</v>
      </c>
      <c r="B172" s="1" t="s">
        <v>236</v>
      </c>
      <c r="C172">
        <v>2</v>
      </c>
      <c r="D172">
        <v>30</v>
      </c>
      <c r="E172" t="b">
        <v>0</v>
      </c>
      <c r="F172" s="1" t="s">
        <v>94</v>
      </c>
    </row>
    <row r="173" spans="1:6" x14ac:dyDescent="0.3">
      <c r="A173" s="1" t="s">
        <v>505</v>
      </c>
      <c r="B173" s="1" t="s">
        <v>237</v>
      </c>
      <c r="C173">
        <v>2</v>
      </c>
      <c r="D173">
        <v>10</v>
      </c>
      <c r="E173" t="b">
        <v>1</v>
      </c>
      <c r="F173" s="1" t="s">
        <v>151</v>
      </c>
    </row>
    <row r="174" spans="1:6" x14ac:dyDescent="0.3">
      <c r="A174" s="1" t="s">
        <v>506</v>
      </c>
      <c r="B174" s="1" t="s">
        <v>238</v>
      </c>
      <c r="C174">
        <v>2</v>
      </c>
      <c r="D174">
        <v>25</v>
      </c>
      <c r="E174" t="b">
        <v>0</v>
      </c>
      <c r="F174" s="1" t="s">
        <v>189</v>
      </c>
    </row>
    <row r="175" spans="1:6" x14ac:dyDescent="0.3">
      <c r="A175" s="1" t="s">
        <v>507</v>
      </c>
      <c r="B175" s="1" t="s">
        <v>239</v>
      </c>
      <c r="C175">
        <v>8</v>
      </c>
      <c r="D175">
        <v>25</v>
      </c>
      <c r="E175" t="b">
        <v>0</v>
      </c>
      <c r="F175" s="1" t="s">
        <v>96</v>
      </c>
    </row>
    <row r="176" spans="1:6" x14ac:dyDescent="0.3">
      <c r="A176" s="1" t="s">
        <v>508</v>
      </c>
      <c r="B176" s="1" t="s">
        <v>240</v>
      </c>
      <c r="C176">
        <v>4</v>
      </c>
      <c r="D176">
        <v>25</v>
      </c>
      <c r="E176" t="b">
        <v>0</v>
      </c>
      <c r="F176" s="1" t="s">
        <v>12</v>
      </c>
    </row>
    <row r="177" spans="1:6" x14ac:dyDescent="0.3">
      <c r="A177" s="1" t="s">
        <v>509</v>
      </c>
      <c r="B177" s="1" t="s">
        <v>241</v>
      </c>
      <c r="C177">
        <v>4</v>
      </c>
      <c r="D177">
        <v>30</v>
      </c>
      <c r="E177" t="b">
        <v>0</v>
      </c>
      <c r="F177" s="1" t="s">
        <v>212</v>
      </c>
    </row>
    <row r="178" spans="1:6" x14ac:dyDescent="0.3">
      <c r="A178" s="1" t="s">
        <v>510</v>
      </c>
      <c r="B178" s="1" t="s">
        <v>242</v>
      </c>
      <c r="C178">
        <v>6</v>
      </c>
      <c r="D178">
        <v>15</v>
      </c>
      <c r="E178" t="b">
        <v>0</v>
      </c>
      <c r="F178" s="1" t="s">
        <v>58</v>
      </c>
    </row>
    <row r="179" spans="1:6" x14ac:dyDescent="0.3">
      <c r="A179" s="1" t="s">
        <v>511</v>
      </c>
      <c r="B179" s="1" t="s">
        <v>243</v>
      </c>
      <c r="C179">
        <v>3</v>
      </c>
      <c r="D179">
        <v>30</v>
      </c>
      <c r="E179" t="b">
        <v>0</v>
      </c>
      <c r="F179" s="1" t="s">
        <v>218</v>
      </c>
    </row>
    <row r="180" spans="1:6" x14ac:dyDescent="0.3">
      <c r="A180" s="1" t="s">
        <v>512</v>
      </c>
      <c r="B180" s="1" t="s">
        <v>244</v>
      </c>
      <c r="C180">
        <v>2</v>
      </c>
      <c r="D180">
        <v>15</v>
      </c>
      <c r="E180" t="b">
        <v>0</v>
      </c>
      <c r="F180" s="1" t="s">
        <v>22</v>
      </c>
    </row>
    <row r="181" spans="1:6" x14ac:dyDescent="0.3">
      <c r="A181" s="1" t="s">
        <v>513</v>
      </c>
      <c r="B181" s="1" t="s">
        <v>245</v>
      </c>
      <c r="C181">
        <v>5</v>
      </c>
      <c r="D181">
        <v>25</v>
      </c>
      <c r="E181" t="b">
        <v>1</v>
      </c>
      <c r="F181" s="1" t="s">
        <v>25</v>
      </c>
    </row>
    <row r="182" spans="1:6" x14ac:dyDescent="0.3">
      <c r="A182" s="1" t="s">
        <v>514</v>
      </c>
      <c r="B182" s="1" t="s">
        <v>246</v>
      </c>
      <c r="C182">
        <v>5</v>
      </c>
      <c r="D182">
        <v>0</v>
      </c>
      <c r="E182" t="b">
        <v>0</v>
      </c>
      <c r="F182" s="1" t="s">
        <v>52</v>
      </c>
    </row>
    <row r="183" spans="1:6" x14ac:dyDescent="0.3">
      <c r="A183" s="1" t="s">
        <v>515</v>
      </c>
      <c r="B183" s="1" t="s">
        <v>247</v>
      </c>
      <c r="C183">
        <v>8</v>
      </c>
      <c r="D183">
        <v>0</v>
      </c>
      <c r="E183" t="b">
        <v>0</v>
      </c>
      <c r="F183" s="1" t="s">
        <v>39</v>
      </c>
    </row>
    <row r="184" spans="1:6" x14ac:dyDescent="0.3">
      <c r="A184" s="1" t="s">
        <v>516</v>
      </c>
      <c r="B184" s="1" t="s">
        <v>248</v>
      </c>
      <c r="C184">
        <v>5</v>
      </c>
      <c r="D184">
        <v>25</v>
      </c>
      <c r="E184" t="b">
        <v>0</v>
      </c>
      <c r="F184" s="1" t="s">
        <v>49</v>
      </c>
    </row>
    <row r="185" spans="1:6" x14ac:dyDescent="0.3">
      <c r="A185" s="1" t="s">
        <v>517</v>
      </c>
      <c r="B185" s="1" t="s">
        <v>249</v>
      </c>
      <c r="C185">
        <v>2</v>
      </c>
      <c r="D185">
        <v>5</v>
      </c>
      <c r="E185" t="b">
        <v>0</v>
      </c>
      <c r="F185" s="1" t="s">
        <v>68</v>
      </c>
    </row>
    <row r="186" spans="1:6" x14ac:dyDescent="0.3">
      <c r="A186" s="1" t="s">
        <v>518</v>
      </c>
      <c r="B186" s="1" t="s">
        <v>250</v>
      </c>
      <c r="C186">
        <v>3</v>
      </c>
      <c r="D186">
        <v>30</v>
      </c>
      <c r="E186" t="b">
        <v>0</v>
      </c>
      <c r="F186" s="1" t="s">
        <v>33</v>
      </c>
    </row>
    <row r="187" spans="1:6" x14ac:dyDescent="0.3">
      <c r="A187" s="1" t="s">
        <v>519</v>
      </c>
      <c r="B187" s="1" t="s">
        <v>251</v>
      </c>
      <c r="C187">
        <v>8</v>
      </c>
      <c r="D187">
        <v>25</v>
      </c>
      <c r="E187" t="b">
        <v>0</v>
      </c>
      <c r="F187" s="1" t="s">
        <v>35</v>
      </c>
    </row>
    <row r="188" spans="1:6" x14ac:dyDescent="0.3">
      <c r="A188" s="1" t="s">
        <v>520</v>
      </c>
      <c r="B188" s="1" t="s">
        <v>252</v>
      </c>
      <c r="C188">
        <v>5</v>
      </c>
      <c r="D188">
        <v>0</v>
      </c>
      <c r="E188" t="b">
        <v>1</v>
      </c>
      <c r="F188" s="1" t="s">
        <v>94</v>
      </c>
    </row>
    <row r="189" spans="1:6" x14ac:dyDescent="0.3">
      <c r="A189" s="1" t="s">
        <v>521</v>
      </c>
      <c r="B189" s="1" t="s">
        <v>253</v>
      </c>
      <c r="C189">
        <v>2</v>
      </c>
      <c r="D189">
        <v>10</v>
      </c>
      <c r="E189" t="b">
        <v>0</v>
      </c>
      <c r="F189" s="1" t="s">
        <v>73</v>
      </c>
    </row>
    <row r="190" spans="1:6" x14ac:dyDescent="0.3">
      <c r="A190" s="1" t="s">
        <v>522</v>
      </c>
      <c r="B190" s="1" t="s">
        <v>254</v>
      </c>
      <c r="C190">
        <v>3</v>
      </c>
      <c r="D190">
        <v>20</v>
      </c>
      <c r="E190" t="b">
        <v>0</v>
      </c>
      <c r="F190" s="1" t="s">
        <v>31</v>
      </c>
    </row>
    <row r="191" spans="1:6" x14ac:dyDescent="0.3">
      <c r="A191" s="1" t="s">
        <v>523</v>
      </c>
      <c r="B191" s="1" t="s">
        <v>255</v>
      </c>
      <c r="C191">
        <v>8</v>
      </c>
      <c r="D191">
        <v>5</v>
      </c>
      <c r="E191" t="b">
        <v>0</v>
      </c>
      <c r="F191" s="1" t="s">
        <v>25</v>
      </c>
    </row>
    <row r="192" spans="1:6" x14ac:dyDescent="0.3">
      <c r="A192" s="1" t="s">
        <v>524</v>
      </c>
      <c r="B192" s="1" t="s">
        <v>256</v>
      </c>
      <c r="C192">
        <v>4</v>
      </c>
      <c r="D192">
        <v>30</v>
      </c>
      <c r="E192" t="b">
        <v>0</v>
      </c>
      <c r="F192" s="1" t="s">
        <v>189</v>
      </c>
    </row>
    <row r="193" spans="1:6" x14ac:dyDescent="0.3">
      <c r="A193" s="1" t="s">
        <v>525</v>
      </c>
      <c r="B193" s="1" t="s">
        <v>257</v>
      </c>
      <c r="C193">
        <v>8</v>
      </c>
      <c r="D193">
        <v>0</v>
      </c>
      <c r="E193" t="b">
        <v>0</v>
      </c>
      <c r="F193" s="1" t="s">
        <v>96</v>
      </c>
    </row>
    <row r="194" spans="1:6" x14ac:dyDescent="0.3">
      <c r="A194" s="1" t="s">
        <v>526</v>
      </c>
      <c r="B194" s="1" t="s">
        <v>258</v>
      </c>
      <c r="C194">
        <v>3</v>
      </c>
      <c r="D194">
        <v>30</v>
      </c>
      <c r="E194" t="b">
        <v>0</v>
      </c>
      <c r="F194" s="1" t="s">
        <v>96</v>
      </c>
    </row>
    <row r="195" spans="1:6" x14ac:dyDescent="0.3">
      <c r="A195" s="1" t="s">
        <v>527</v>
      </c>
      <c r="B195" s="1" t="s">
        <v>259</v>
      </c>
      <c r="C195">
        <v>5</v>
      </c>
      <c r="D195">
        <v>30</v>
      </c>
      <c r="E195" t="b">
        <v>0</v>
      </c>
      <c r="F195" s="1" t="s">
        <v>90</v>
      </c>
    </row>
    <row r="196" spans="1:6" x14ac:dyDescent="0.3">
      <c r="A196" s="1" t="s">
        <v>528</v>
      </c>
      <c r="B196" s="1" t="s">
        <v>260</v>
      </c>
      <c r="C196">
        <v>7</v>
      </c>
      <c r="D196">
        <v>30</v>
      </c>
      <c r="E196" t="b">
        <v>0</v>
      </c>
      <c r="F196" s="1" t="s">
        <v>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44308-BCCC-457D-94F2-6AA6D810E678}">
  <dimension ref="A1:D16"/>
  <sheetViews>
    <sheetView workbookViewId="0">
      <selection activeCell="M17" sqref="M17"/>
    </sheetView>
  </sheetViews>
  <sheetFormatPr defaultRowHeight="14.4" x14ac:dyDescent="0.3"/>
  <cols>
    <col min="1" max="1" width="10.33203125" bestFit="1" customWidth="1"/>
    <col min="2" max="2" width="13.33203125" bestFit="1" customWidth="1"/>
    <col min="3" max="3" width="8.33203125" bestFit="1" customWidth="1"/>
    <col min="4" max="4" width="13.77734375" bestFit="1" customWidth="1"/>
  </cols>
  <sheetData>
    <row r="1" spans="1:4" x14ac:dyDescent="0.3">
      <c r="A1" t="s">
        <v>269</v>
      </c>
      <c r="B1" t="s">
        <v>308</v>
      </c>
      <c r="C1" t="s">
        <v>309</v>
      </c>
      <c r="D1" t="s">
        <v>310</v>
      </c>
    </row>
    <row r="2" spans="1:4" x14ac:dyDescent="0.3">
      <c r="A2" s="1" t="s">
        <v>273</v>
      </c>
      <c r="B2" s="1" t="s">
        <v>311</v>
      </c>
      <c r="C2" s="1" t="s">
        <v>312</v>
      </c>
      <c r="D2">
        <v>11</v>
      </c>
    </row>
    <row r="3" spans="1:4" x14ac:dyDescent="0.3">
      <c r="A3" s="1" t="s">
        <v>301</v>
      </c>
      <c r="B3" s="1" t="s">
        <v>313</v>
      </c>
      <c r="C3" s="1" t="s">
        <v>312</v>
      </c>
      <c r="D3">
        <v>7</v>
      </c>
    </row>
    <row r="4" spans="1:4" x14ac:dyDescent="0.3">
      <c r="A4" s="1" t="s">
        <v>293</v>
      </c>
      <c r="B4" s="1" t="s">
        <v>314</v>
      </c>
      <c r="C4" s="1" t="s">
        <v>315</v>
      </c>
      <c r="D4">
        <v>9</v>
      </c>
    </row>
    <row r="5" spans="1:4" x14ac:dyDescent="0.3">
      <c r="A5" s="1" t="s">
        <v>290</v>
      </c>
      <c r="B5" s="1" t="s">
        <v>316</v>
      </c>
      <c r="C5" s="1" t="s">
        <v>317</v>
      </c>
      <c r="D5">
        <v>3</v>
      </c>
    </row>
    <row r="6" spans="1:4" x14ac:dyDescent="0.3">
      <c r="A6" s="1" t="s">
        <v>276</v>
      </c>
      <c r="B6" s="1" t="s">
        <v>318</v>
      </c>
      <c r="C6" s="1" t="s">
        <v>319</v>
      </c>
      <c r="D6">
        <v>1</v>
      </c>
    </row>
    <row r="7" spans="1:4" x14ac:dyDescent="0.3">
      <c r="A7" s="1" t="s">
        <v>286</v>
      </c>
      <c r="B7" s="1" t="s">
        <v>320</v>
      </c>
      <c r="C7" s="1" t="s">
        <v>315</v>
      </c>
      <c r="D7">
        <v>9</v>
      </c>
    </row>
    <row r="8" spans="1:4" x14ac:dyDescent="0.3">
      <c r="A8" s="1" t="s">
        <v>288</v>
      </c>
      <c r="B8" s="1" t="s">
        <v>321</v>
      </c>
      <c r="C8" s="1" t="s">
        <v>312</v>
      </c>
      <c r="D8">
        <v>11</v>
      </c>
    </row>
    <row r="9" spans="1:4" x14ac:dyDescent="0.3">
      <c r="A9" s="1" t="s">
        <v>283</v>
      </c>
      <c r="B9" s="1" t="s">
        <v>322</v>
      </c>
      <c r="C9" s="1" t="s">
        <v>319</v>
      </c>
      <c r="D9">
        <v>4</v>
      </c>
    </row>
    <row r="10" spans="1:4" x14ac:dyDescent="0.3">
      <c r="A10" s="1" t="s">
        <v>280</v>
      </c>
      <c r="B10" s="1" t="s">
        <v>323</v>
      </c>
      <c r="C10" s="1" t="s">
        <v>319</v>
      </c>
      <c r="D10">
        <v>12</v>
      </c>
    </row>
    <row r="11" spans="1:4" x14ac:dyDescent="0.3">
      <c r="A11" s="1" t="s">
        <v>300</v>
      </c>
      <c r="B11" s="1" t="s">
        <v>324</v>
      </c>
      <c r="C11" s="1" t="s">
        <v>312</v>
      </c>
      <c r="D11">
        <v>12</v>
      </c>
    </row>
    <row r="12" spans="1:4" x14ac:dyDescent="0.3">
      <c r="A12" s="1" t="s">
        <v>306</v>
      </c>
      <c r="B12" s="1" t="s">
        <v>325</v>
      </c>
      <c r="C12" s="1" t="s">
        <v>317</v>
      </c>
      <c r="D12">
        <v>11</v>
      </c>
    </row>
    <row r="13" spans="1:4" x14ac:dyDescent="0.3">
      <c r="A13" s="1" t="s">
        <v>305</v>
      </c>
      <c r="B13" s="1" t="s">
        <v>326</v>
      </c>
      <c r="C13" s="1" t="s">
        <v>312</v>
      </c>
      <c r="D13">
        <v>3</v>
      </c>
    </row>
    <row r="14" spans="1:4" x14ac:dyDescent="0.3">
      <c r="A14" s="1" t="s">
        <v>296</v>
      </c>
      <c r="B14" s="1" t="s">
        <v>327</v>
      </c>
      <c r="C14" s="1" t="s">
        <v>312</v>
      </c>
      <c r="D14">
        <v>4</v>
      </c>
    </row>
    <row r="15" spans="1:4" x14ac:dyDescent="0.3">
      <c r="A15" s="1" t="s">
        <v>303</v>
      </c>
      <c r="B15" s="1" t="s">
        <v>328</v>
      </c>
      <c r="C15" s="1" t="s">
        <v>315</v>
      </c>
      <c r="D15">
        <v>8</v>
      </c>
    </row>
    <row r="16" spans="1:4" x14ac:dyDescent="0.3">
      <c r="A16" s="1" t="s">
        <v>298</v>
      </c>
      <c r="B16" s="1" t="s">
        <v>329</v>
      </c>
      <c r="C16" s="1" t="s">
        <v>319</v>
      </c>
      <c r="D16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04C6-5684-46CB-B862-5EE2AA2AFFE7}">
  <dimension ref="A1:E62"/>
  <sheetViews>
    <sheetView workbookViewId="0">
      <selection activeCell="N13" sqref="N13"/>
    </sheetView>
  </sheetViews>
  <sheetFormatPr defaultRowHeight="14.4" x14ac:dyDescent="0.3"/>
  <cols>
    <col min="1" max="5" width="10.6640625" bestFit="1" customWidth="1"/>
  </cols>
  <sheetData>
    <row r="1" spans="1:5" x14ac:dyDescent="0.3">
      <c r="A1" t="s">
        <v>261</v>
      </c>
      <c r="B1" t="s">
        <v>262</v>
      </c>
      <c r="C1" t="s">
        <v>263</v>
      </c>
      <c r="D1" t="s">
        <v>264</v>
      </c>
      <c r="E1" t="s">
        <v>265</v>
      </c>
    </row>
    <row r="2" spans="1:5" x14ac:dyDescent="0.3">
      <c r="A2" s="1" t="s">
        <v>1</v>
      </c>
      <c r="B2" s="1" t="s">
        <v>266</v>
      </c>
      <c r="C2" s="1" t="s">
        <v>267</v>
      </c>
      <c r="D2" s="1" t="s">
        <v>268</v>
      </c>
      <c r="E2" s="1" t="s">
        <v>269</v>
      </c>
    </row>
    <row r="3" spans="1:5" x14ac:dyDescent="0.3">
      <c r="A3" s="1" t="s">
        <v>78</v>
      </c>
      <c r="B3" s="1" t="s">
        <v>270</v>
      </c>
      <c r="C3" s="1" t="s">
        <v>271</v>
      </c>
      <c r="D3" s="1" t="s">
        <v>272</v>
      </c>
      <c r="E3" s="1" t="s">
        <v>273</v>
      </c>
    </row>
    <row r="4" spans="1:5" x14ac:dyDescent="0.3">
      <c r="A4" s="1" t="s">
        <v>10</v>
      </c>
      <c r="B4" s="1" t="s">
        <v>274</v>
      </c>
      <c r="C4" s="1" t="s">
        <v>275</v>
      </c>
      <c r="D4" s="1" t="s">
        <v>272</v>
      </c>
      <c r="E4" s="1" t="s">
        <v>276</v>
      </c>
    </row>
    <row r="5" spans="1:5" x14ac:dyDescent="0.3">
      <c r="A5" s="1" t="s">
        <v>151</v>
      </c>
      <c r="B5" s="1" t="s">
        <v>277</v>
      </c>
      <c r="C5" s="1" t="s">
        <v>278</v>
      </c>
      <c r="D5" s="1" t="s">
        <v>279</v>
      </c>
      <c r="E5" s="1" t="s">
        <v>280</v>
      </c>
    </row>
    <row r="6" spans="1:5" x14ac:dyDescent="0.3">
      <c r="A6" s="1" t="s">
        <v>189</v>
      </c>
      <c r="B6" s="1" t="s">
        <v>281</v>
      </c>
      <c r="C6" s="1" t="s">
        <v>282</v>
      </c>
      <c r="D6" s="1" t="s">
        <v>279</v>
      </c>
      <c r="E6" s="1" t="s">
        <v>283</v>
      </c>
    </row>
    <row r="7" spans="1:5" x14ac:dyDescent="0.3">
      <c r="A7" s="1" t="s">
        <v>143</v>
      </c>
      <c r="B7" s="1" t="s">
        <v>284</v>
      </c>
      <c r="C7" s="1" t="s">
        <v>285</v>
      </c>
      <c r="D7" s="1" t="s">
        <v>279</v>
      </c>
      <c r="E7" s="1" t="s">
        <v>286</v>
      </c>
    </row>
    <row r="8" spans="1:5" x14ac:dyDescent="0.3">
      <c r="A8" s="1" t="s">
        <v>18</v>
      </c>
      <c r="B8" s="1" t="s">
        <v>270</v>
      </c>
      <c r="C8" s="1" t="s">
        <v>287</v>
      </c>
      <c r="D8" s="1" t="s">
        <v>272</v>
      </c>
      <c r="E8" s="1" t="s">
        <v>288</v>
      </c>
    </row>
    <row r="9" spans="1:5" x14ac:dyDescent="0.3">
      <c r="A9" s="1" t="s">
        <v>197</v>
      </c>
      <c r="B9" s="1" t="s">
        <v>274</v>
      </c>
      <c r="C9" s="1" t="s">
        <v>289</v>
      </c>
      <c r="D9" s="1" t="s">
        <v>272</v>
      </c>
      <c r="E9" s="1" t="s">
        <v>290</v>
      </c>
    </row>
    <row r="10" spans="1:5" x14ac:dyDescent="0.3">
      <c r="A10" s="1" t="s">
        <v>128</v>
      </c>
      <c r="B10" s="1" t="s">
        <v>277</v>
      </c>
      <c r="C10" s="1" t="s">
        <v>291</v>
      </c>
      <c r="D10" s="1" t="s">
        <v>272</v>
      </c>
      <c r="E10" s="1" t="s">
        <v>276</v>
      </c>
    </row>
    <row r="11" spans="1:5" x14ac:dyDescent="0.3">
      <c r="A11" s="1" t="s">
        <v>29</v>
      </c>
      <c r="B11" s="1" t="s">
        <v>281</v>
      </c>
      <c r="C11" s="1" t="s">
        <v>282</v>
      </c>
      <c r="D11" s="1" t="s">
        <v>272</v>
      </c>
      <c r="E11" s="1" t="s">
        <v>288</v>
      </c>
    </row>
    <row r="12" spans="1:5" x14ac:dyDescent="0.3">
      <c r="A12" s="1" t="s">
        <v>12</v>
      </c>
      <c r="B12" s="1" t="s">
        <v>284</v>
      </c>
      <c r="C12" s="1" t="s">
        <v>292</v>
      </c>
      <c r="D12" s="1" t="s">
        <v>279</v>
      </c>
      <c r="E12" s="1" t="s">
        <v>293</v>
      </c>
    </row>
    <row r="13" spans="1:5" x14ac:dyDescent="0.3">
      <c r="A13" s="1" t="s">
        <v>206</v>
      </c>
      <c r="B13" s="1" t="s">
        <v>270</v>
      </c>
      <c r="C13" s="1" t="s">
        <v>271</v>
      </c>
      <c r="D13" s="1" t="s">
        <v>294</v>
      </c>
      <c r="E13" s="1" t="s">
        <v>293</v>
      </c>
    </row>
    <row r="14" spans="1:5" x14ac:dyDescent="0.3">
      <c r="A14" s="1" t="s">
        <v>106</v>
      </c>
      <c r="B14" s="1" t="s">
        <v>274</v>
      </c>
      <c r="C14" s="1" t="s">
        <v>295</v>
      </c>
      <c r="D14" s="1" t="s">
        <v>279</v>
      </c>
      <c r="E14" s="1" t="s">
        <v>296</v>
      </c>
    </row>
    <row r="15" spans="1:5" x14ac:dyDescent="0.3">
      <c r="A15" s="1" t="s">
        <v>84</v>
      </c>
      <c r="B15" s="1" t="s">
        <v>277</v>
      </c>
      <c r="C15" s="1" t="s">
        <v>291</v>
      </c>
      <c r="D15" s="1" t="s">
        <v>294</v>
      </c>
      <c r="E15" s="1" t="s">
        <v>290</v>
      </c>
    </row>
    <row r="16" spans="1:5" x14ac:dyDescent="0.3">
      <c r="A16" s="1" t="s">
        <v>31</v>
      </c>
      <c r="B16" s="1" t="s">
        <v>281</v>
      </c>
      <c r="C16" s="1" t="s">
        <v>297</v>
      </c>
      <c r="D16" s="1" t="s">
        <v>279</v>
      </c>
      <c r="E16" s="1" t="s">
        <v>298</v>
      </c>
    </row>
    <row r="17" spans="1:5" x14ac:dyDescent="0.3">
      <c r="A17" s="1" t="s">
        <v>235</v>
      </c>
      <c r="B17" s="1" t="s">
        <v>284</v>
      </c>
      <c r="C17" s="1" t="s">
        <v>299</v>
      </c>
      <c r="D17" s="1" t="s">
        <v>272</v>
      </c>
      <c r="E17" s="1" t="s">
        <v>286</v>
      </c>
    </row>
    <row r="18" spans="1:5" x14ac:dyDescent="0.3">
      <c r="A18" s="1" t="s">
        <v>231</v>
      </c>
      <c r="B18" s="1" t="s">
        <v>270</v>
      </c>
      <c r="C18" s="1" t="s">
        <v>271</v>
      </c>
      <c r="D18" s="1" t="s">
        <v>279</v>
      </c>
      <c r="E18" s="1" t="s">
        <v>273</v>
      </c>
    </row>
    <row r="19" spans="1:5" x14ac:dyDescent="0.3">
      <c r="A19" s="1" t="s">
        <v>37</v>
      </c>
      <c r="B19" s="1" t="s">
        <v>274</v>
      </c>
      <c r="C19" s="1" t="s">
        <v>289</v>
      </c>
      <c r="D19" s="1" t="s">
        <v>279</v>
      </c>
      <c r="E19" s="1" t="s">
        <v>300</v>
      </c>
    </row>
    <row r="20" spans="1:5" x14ac:dyDescent="0.3">
      <c r="A20" s="1" t="s">
        <v>8</v>
      </c>
      <c r="B20" s="1" t="s">
        <v>277</v>
      </c>
      <c r="C20" s="1" t="s">
        <v>291</v>
      </c>
      <c r="D20" s="1" t="s">
        <v>294</v>
      </c>
      <c r="E20" s="1" t="s">
        <v>301</v>
      </c>
    </row>
    <row r="21" spans="1:5" x14ac:dyDescent="0.3">
      <c r="A21" s="1" t="s">
        <v>96</v>
      </c>
      <c r="B21" s="1" t="s">
        <v>281</v>
      </c>
      <c r="C21" s="1" t="s">
        <v>302</v>
      </c>
      <c r="D21" s="1" t="s">
        <v>294</v>
      </c>
      <c r="E21" s="1" t="s">
        <v>301</v>
      </c>
    </row>
    <row r="22" spans="1:5" x14ac:dyDescent="0.3">
      <c r="A22" s="1" t="s">
        <v>90</v>
      </c>
      <c r="B22" s="1" t="s">
        <v>284</v>
      </c>
      <c r="C22" s="1" t="s">
        <v>299</v>
      </c>
      <c r="D22" s="1" t="s">
        <v>279</v>
      </c>
      <c r="E22" s="1" t="s">
        <v>276</v>
      </c>
    </row>
    <row r="23" spans="1:5" x14ac:dyDescent="0.3">
      <c r="A23" s="1" t="s">
        <v>16</v>
      </c>
      <c r="B23" s="1" t="s">
        <v>270</v>
      </c>
      <c r="C23" s="1" t="s">
        <v>287</v>
      </c>
      <c r="D23" s="1" t="s">
        <v>272</v>
      </c>
      <c r="E23" s="1" t="s">
        <v>296</v>
      </c>
    </row>
    <row r="24" spans="1:5" x14ac:dyDescent="0.3">
      <c r="A24" s="1" t="s">
        <v>71</v>
      </c>
      <c r="B24" s="1" t="s">
        <v>274</v>
      </c>
      <c r="C24" s="1" t="s">
        <v>295</v>
      </c>
      <c r="D24" s="1" t="s">
        <v>279</v>
      </c>
      <c r="E24" s="1" t="s">
        <v>298</v>
      </c>
    </row>
    <row r="25" spans="1:5" x14ac:dyDescent="0.3">
      <c r="A25" s="1" t="s">
        <v>203</v>
      </c>
      <c r="B25" s="1" t="s">
        <v>277</v>
      </c>
      <c r="C25" s="1" t="s">
        <v>278</v>
      </c>
      <c r="D25" s="1" t="s">
        <v>279</v>
      </c>
      <c r="E25" s="1" t="s">
        <v>286</v>
      </c>
    </row>
    <row r="26" spans="1:5" x14ac:dyDescent="0.3">
      <c r="A26" s="1" t="s">
        <v>39</v>
      </c>
      <c r="B26" s="1" t="s">
        <v>281</v>
      </c>
      <c r="C26" s="1" t="s">
        <v>302</v>
      </c>
      <c r="D26" s="1" t="s">
        <v>279</v>
      </c>
      <c r="E26" s="1" t="s">
        <v>288</v>
      </c>
    </row>
    <row r="27" spans="1:5" x14ac:dyDescent="0.3">
      <c r="A27" s="1" t="s">
        <v>123</v>
      </c>
      <c r="B27" s="1" t="s">
        <v>284</v>
      </c>
      <c r="C27" s="1" t="s">
        <v>285</v>
      </c>
      <c r="D27" s="1" t="s">
        <v>294</v>
      </c>
      <c r="E27" s="1" t="s">
        <v>273</v>
      </c>
    </row>
    <row r="28" spans="1:5" x14ac:dyDescent="0.3">
      <c r="A28" s="1" t="s">
        <v>119</v>
      </c>
      <c r="B28" s="1" t="s">
        <v>270</v>
      </c>
      <c r="C28" s="1" t="s">
        <v>271</v>
      </c>
      <c r="D28" s="1" t="s">
        <v>279</v>
      </c>
      <c r="E28" s="1" t="s">
        <v>280</v>
      </c>
    </row>
    <row r="29" spans="1:5" x14ac:dyDescent="0.3">
      <c r="A29" s="1" t="s">
        <v>47</v>
      </c>
      <c r="B29" s="1" t="s">
        <v>274</v>
      </c>
      <c r="C29" s="1" t="s">
        <v>275</v>
      </c>
      <c r="D29" s="1" t="s">
        <v>272</v>
      </c>
      <c r="E29" s="1" t="s">
        <v>300</v>
      </c>
    </row>
    <row r="30" spans="1:5" x14ac:dyDescent="0.3">
      <c r="A30" s="1" t="s">
        <v>22</v>
      </c>
      <c r="B30" s="1" t="s">
        <v>277</v>
      </c>
      <c r="C30" s="1" t="s">
        <v>278</v>
      </c>
      <c r="D30" s="1" t="s">
        <v>279</v>
      </c>
      <c r="E30" s="1" t="s">
        <v>300</v>
      </c>
    </row>
    <row r="31" spans="1:5" x14ac:dyDescent="0.3">
      <c r="A31" s="1" t="s">
        <v>42</v>
      </c>
      <c r="B31" s="1" t="s">
        <v>281</v>
      </c>
      <c r="C31" s="1" t="s">
        <v>282</v>
      </c>
      <c r="D31" s="1" t="s">
        <v>272</v>
      </c>
      <c r="E31" s="1" t="s">
        <v>273</v>
      </c>
    </row>
    <row r="32" spans="1:5" x14ac:dyDescent="0.3">
      <c r="A32" s="1" t="s">
        <v>126</v>
      </c>
      <c r="B32" s="1" t="s">
        <v>284</v>
      </c>
      <c r="C32" s="1" t="s">
        <v>285</v>
      </c>
      <c r="D32" s="1" t="s">
        <v>294</v>
      </c>
      <c r="E32" s="1" t="s">
        <v>288</v>
      </c>
    </row>
    <row r="33" spans="1:5" x14ac:dyDescent="0.3">
      <c r="A33" s="1" t="s">
        <v>58</v>
      </c>
      <c r="B33" s="1" t="s">
        <v>270</v>
      </c>
      <c r="C33" s="1" t="s">
        <v>271</v>
      </c>
      <c r="D33" s="1" t="s">
        <v>294</v>
      </c>
      <c r="E33" s="1" t="s">
        <v>288</v>
      </c>
    </row>
    <row r="34" spans="1:5" x14ac:dyDescent="0.3">
      <c r="A34" s="1" t="s">
        <v>212</v>
      </c>
      <c r="B34" s="1" t="s">
        <v>274</v>
      </c>
      <c r="C34" s="1" t="s">
        <v>275</v>
      </c>
      <c r="D34" s="1" t="s">
        <v>294</v>
      </c>
      <c r="E34" s="1" t="s">
        <v>293</v>
      </c>
    </row>
    <row r="35" spans="1:5" x14ac:dyDescent="0.3">
      <c r="A35" s="1" t="s">
        <v>101</v>
      </c>
      <c r="B35" s="1" t="s">
        <v>277</v>
      </c>
      <c r="C35" s="1" t="s">
        <v>291</v>
      </c>
      <c r="D35" s="1" t="s">
        <v>294</v>
      </c>
      <c r="E35" s="1" t="s">
        <v>303</v>
      </c>
    </row>
    <row r="36" spans="1:5" x14ac:dyDescent="0.3">
      <c r="A36" s="1" t="s">
        <v>68</v>
      </c>
      <c r="B36" s="1" t="s">
        <v>281</v>
      </c>
      <c r="C36" s="1" t="s">
        <v>282</v>
      </c>
      <c r="D36" s="1" t="s">
        <v>272</v>
      </c>
      <c r="E36" s="1" t="s">
        <v>303</v>
      </c>
    </row>
    <row r="37" spans="1:5" x14ac:dyDescent="0.3">
      <c r="A37" s="1" t="s">
        <v>104</v>
      </c>
      <c r="B37" s="1" t="s">
        <v>284</v>
      </c>
      <c r="C37" s="1" t="s">
        <v>285</v>
      </c>
      <c r="D37" s="1" t="s">
        <v>272</v>
      </c>
      <c r="E37" s="1" t="s">
        <v>280</v>
      </c>
    </row>
    <row r="38" spans="1:5" x14ac:dyDescent="0.3">
      <c r="A38" s="1" t="s">
        <v>304</v>
      </c>
      <c r="B38" s="1" t="s">
        <v>270</v>
      </c>
      <c r="C38" s="1" t="s">
        <v>271</v>
      </c>
      <c r="D38" s="1" t="s">
        <v>272</v>
      </c>
      <c r="E38" s="1" t="s">
        <v>276</v>
      </c>
    </row>
    <row r="39" spans="1:5" x14ac:dyDescent="0.3">
      <c r="A39" s="1" t="s">
        <v>44</v>
      </c>
      <c r="B39" s="1" t="s">
        <v>274</v>
      </c>
      <c r="C39" s="1" t="s">
        <v>289</v>
      </c>
      <c r="D39" s="1" t="s">
        <v>272</v>
      </c>
      <c r="E39" s="1" t="s">
        <v>286</v>
      </c>
    </row>
    <row r="40" spans="1:5" x14ac:dyDescent="0.3">
      <c r="A40" s="1" t="s">
        <v>168</v>
      </c>
      <c r="B40" s="1" t="s">
        <v>277</v>
      </c>
      <c r="C40" s="1" t="s">
        <v>278</v>
      </c>
      <c r="D40" s="1" t="s">
        <v>279</v>
      </c>
      <c r="E40" s="1" t="s">
        <v>305</v>
      </c>
    </row>
    <row r="41" spans="1:5" x14ac:dyDescent="0.3">
      <c r="A41" s="1" t="s">
        <v>52</v>
      </c>
      <c r="B41" s="1" t="s">
        <v>281</v>
      </c>
      <c r="C41" s="1" t="s">
        <v>297</v>
      </c>
      <c r="D41" s="1" t="s">
        <v>294</v>
      </c>
      <c r="E41" s="1" t="s">
        <v>301</v>
      </c>
    </row>
    <row r="42" spans="1:5" x14ac:dyDescent="0.3">
      <c r="A42" s="1" t="s">
        <v>60</v>
      </c>
      <c r="B42" s="1" t="s">
        <v>284</v>
      </c>
      <c r="C42" s="1" t="s">
        <v>299</v>
      </c>
      <c r="D42" s="1" t="s">
        <v>279</v>
      </c>
      <c r="E42" s="1" t="s">
        <v>276</v>
      </c>
    </row>
    <row r="43" spans="1:5" x14ac:dyDescent="0.3">
      <c r="A43" s="1" t="s">
        <v>158</v>
      </c>
      <c r="B43" s="1" t="s">
        <v>270</v>
      </c>
      <c r="C43" s="1" t="s">
        <v>271</v>
      </c>
      <c r="D43" s="1" t="s">
        <v>294</v>
      </c>
      <c r="E43" s="1" t="s">
        <v>300</v>
      </c>
    </row>
    <row r="44" spans="1:5" x14ac:dyDescent="0.3">
      <c r="A44" s="1" t="s">
        <v>82</v>
      </c>
      <c r="B44" s="1" t="s">
        <v>274</v>
      </c>
      <c r="C44" s="1" t="s">
        <v>295</v>
      </c>
      <c r="D44" s="1" t="s">
        <v>272</v>
      </c>
      <c r="E44" s="1" t="s">
        <v>288</v>
      </c>
    </row>
    <row r="45" spans="1:5" x14ac:dyDescent="0.3">
      <c r="A45" s="1" t="s">
        <v>172</v>
      </c>
      <c r="B45" s="1" t="s">
        <v>277</v>
      </c>
      <c r="C45" s="1" t="s">
        <v>278</v>
      </c>
      <c r="D45" s="1" t="s">
        <v>272</v>
      </c>
      <c r="E45" s="1" t="s">
        <v>305</v>
      </c>
    </row>
    <row r="46" spans="1:5" x14ac:dyDescent="0.3">
      <c r="A46" s="1" t="s">
        <v>87</v>
      </c>
      <c r="B46" s="1" t="s">
        <v>281</v>
      </c>
      <c r="C46" s="1" t="s">
        <v>282</v>
      </c>
      <c r="D46" s="1" t="s">
        <v>279</v>
      </c>
      <c r="E46" s="1" t="s">
        <v>306</v>
      </c>
    </row>
    <row r="47" spans="1:5" x14ac:dyDescent="0.3">
      <c r="A47" s="1" t="s">
        <v>33</v>
      </c>
      <c r="B47" s="1" t="s">
        <v>284</v>
      </c>
      <c r="C47" s="1" t="s">
        <v>299</v>
      </c>
      <c r="D47" s="1" t="s">
        <v>279</v>
      </c>
      <c r="E47" s="1" t="s">
        <v>298</v>
      </c>
    </row>
    <row r="48" spans="1:5" x14ac:dyDescent="0.3">
      <c r="A48" s="1" t="s">
        <v>216</v>
      </c>
      <c r="B48" s="1" t="s">
        <v>270</v>
      </c>
      <c r="C48" s="1" t="s">
        <v>307</v>
      </c>
      <c r="D48" s="1" t="s">
        <v>294</v>
      </c>
      <c r="E48" s="1" t="s">
        <v>293</v>
      </c>
    </row>
    <row r="49" spans="1:5" x14ac:dyDescent="0.3">
      <c r="A49" s="1" t="s">
        <v>65</v>
      </c>
      <c r="B49" s="1" t="s">
        <v>274</v>
      </c>
      <c r="C49" s="1" t="s">
        <v>289</v>
      </c>
      <c r="D49" s="1" t="s">
        <v>294</v>
      </c>
      <c r="E49" s="1" t="s">
        <v>301</v>
      </c>
    </row>
    <row r="50" spans="1:5" x14ac:dyDescent="0.3">
      <c r="A50" s="1" t="s">
        <v>27</v>
      </c>
      <c r="B50" s="1" t="s">
        <v>277</v>
      </c>
      <c r="C50" s="1" t="s">
        <v>291</v>
      </c>
      <c r="D50" s="1" t="s">
        <v>294</v>
      </c>
      <c r="E50" s="1" t="s">
        <v>288</v>
      </c>
    </row>
    <row r="51" spans="1:5" x14ac:dyDescent="0.3">
      <c r="A51" s="1" t="s">
        <v>35</v>
      </c>
      <c r="B51" s="1" t="s">
        <v>281</v>
      </c>
      <c r="C51" s="1" t="s">
        <v>297</v>
      </c>
      <c r="D51" s="1" t="s">
        <v>294</v>
      </c>
      <c r="E51" s="1" t="s">
        <v>283</v>
      </c>
    </row>
    <row r="52" spans="1:5" x14ac:dyDescent="0.3">
      <c r="A52" s="1" t="s">
        <v>73</v>
      </c>
      <c r="B52" s="1" t="s">
        <v>284</v>
      </c>
      <c r="C52" s="1" t="s">
        <v>299</v>
      </c>
      <c r="D52" s="1" t="s">
        <v>294</v>
      </c>
      <c r="E52" s="1" t="s">
        <v>298</v>
      </c>
    </row>
    <row r="53" spans="1:5" x14ac:dyDescent="0.3">
      <c r="A53" s="1" t="s">
        <v>80</v>
      </c>
      <c r="B53" s="1" t="s">
        <v>270</v>
      </c>
      <c r="C53" s="1" t="s">
        <v>307</v>
      </c>
      <c r="D53" s="1" t="s">
        <v>294</v>
      </c>
      <c r="E53" s="1" t="s">
        <v>273</v>
      </c>
    </row>
    <row r="54" spans="1:5" x14ac:dyDescent="0.3">
      <c r="A54" s="1" t="s">
        <v>20</v>
      </c>
      <c r="B54" s="1" t="s">
        <v>274</v>
      </c>
      <c r="C54" s="1" t="s">
        <v>275</v>
      </c>
      <c r="D54" s="1" t="s">
        <v>294</v>
      </c>
      <c r="E54" s="1" t="s">
        <v>301</v>
      </c>
    </row>
    <row r="55" spans="1:5" x14ac:dyDescent="0.3">
      <c r="A55" s="1" t="s">
        <v>56</v>
      </c>
      <c r="B55" s="1" t="s">
        <v>277</v>
      </c>
      <c r="C55" s="1" t="s">
        <v>291</v>
      </c>
      <c r="D55" s="1" t="s">
        <v>279</v>
      </c>
      <c r="E55" s="1" t="s">
        <v>293</v>
      </c>
    </row>
    <row r="56" spans="1:5" x14ac:dyDescent="0.3">
      <c r="A56" s="1" t="s">
        <v>49</v>
      </c>
      <c r="B56" s="1" t="s">
        <v>281</v>
      </c>
      <c r="C56" s="1" t="s">
        <v>282</v>
      </c>
      <c r="D56" s="1" t="s">
        <v>272</v>
      </c>
      <c r="E56" s="1" t="s">
        <v>306</v>
      </c>
    </row>
    <row r="57" spans="1:5" x14ac:dyDescent="0.3">
      <c r="A57" s="1" t="s">
        <v>25</v>
      </c>
      <c r="B57" s="1" t="s">
        <v>284</v>
      </c>
      <c r="C57" s="1" t="s">
        <v>285</v>
      </c>
      <c r="D57" s="1" t="s">
        <v>279</v>
      </c>
      <c r="E57" s="1" t="s">
        <v>296</v>
      </c>
    </row>
    <row r="58" spans="1:5" x14ac:dyDescent="0.3">
      <c r="A58" s="1" t="s">
        <v>14</v>
      </c>
      <c r="B58" s="1" t="s">
        <v>270</v>
      </c>
      <c r="C58" s="1" t="s">
        <v>271</v>
      </c>
      <c r="D58" s="1" t="s">
        <v>272</v>
      </c>
      <c r="E58" s="1" t="s">
        <v>273</v>
      </c>
    </row>
    <row r="59" spans="1:5" x14ac:dyDescent="0.3">
      <c r="A59" s="1" t="s">
        <v>114</v>
      </c>
      <c r="B59" s="1" t="s">
        <v>274</v>
      </c>
      <c r="C59" s="1" t="s">
        <v>275</v>
      </c>
      <c r="D59" s="1" t="s">
        <v>294</v>
      </c>
      <c r="E59" s="1" t="s">
        <v>280</v>
      </c>
    </row>
    <row r="60" spans="1:5" x14ac:dyDescent="0.3">
      <c r="A60" s="1" t="s">
        <v>94</v>
      </c>
      <c r="B60" s="1" t="s">
        <v>277</v>
      </c>
      <c r="C60" s="1" t="s">
        <v>291</v>
      </c>
      <c r="D60" s="1" t="s">
        <v>279</v>
      </c>
      <c r="E60" s="1" t="s">
        <v>305</v>
      </c>
    </row>
    <row r="61" spans="1:5" x14ac:dyDescent="0.3">
      <c r="A61" s="1" t="s">
        <v>63</v>
      </c>
      <c r="B61" s="1" t="s">
        <v>281</v>
      </c>
      <c r="C61" s="1" t="s">
        <v>282</v>
      </c>
      <c r="D61" s="1" t="s">
        <v>294</v>
      </c>
      <c r="E61" s="1" t="s">
        <v>290</v>
      </c>
    </row>
    <row r="62" spans="1:5" x14ac:dyDescent="0.3">
      <c r="A62" s="1" t="s">
        <v>218</v>
      </c>
      <c r="B62" s="1" t="s">
        <v>284</v>
      </c>
      <c r="C62" s="1" t="s">
        <v>299</v>
      </c>
      <c r="D62" s="1" t="s">
        <v>279</v>
      </c>
      <c r="E62" s="1" t="s">
        <v>276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ABF3-D12E-4956-AD80-A4D911B5B570}">
  <dimension ref="A3:G9"/>
  <sheetViews>
    <sheetView workbookViewId="0">
      <selection activeCell="N7" sqref="N7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7" x14ac:dyDescent="0.3">
      <c r="A3" s="3" t="s">
        <v>610</v>
      </c>
      <c r="B3" t="s">
        <v>612</v>
      </c>
    </row>
    <row r="4" spans="1:7" x14ac:dyDescent="0.3">
      <c r="A4" s="4" t="s">
        <v>277</v>
      </c>
      <c r="B4" s="1">
        <v>3.4444444444444446</v>
      </c>
    </row>
    <row r="5" spans="1:7" x14ac:dyDescent="0.3">
      <c r="A5" s="4" t="s">
        <v>284</v>
      </c>
      <c r="B5" s="1">
        <v>3.5161290322580645</v>
      </c>
      <c r="G5" t="s">
        <v>613</v>
      </c>
    </row>
    <row r="6" spans="1:7" x14ac:dyDescent="0.3">
      <c r="A6" s="4" t="s">
        <v>270</v>
      </c>
      <c r="B6" s="1">
        <v>3.1071428571428572</v>
      </c>
    </row>
    <row r="7" spans="1:7" x14ac:dyDescent="0.3">
      <c r="A7" s="4" t="s">
        <v>274</v>
      </c>
      <c r="B7" s="1">
        <v>3.3055555555555554</v>
      </c>
    </row>
    <row r="8" spans="1:7" x14ac:dyDescent="0.3">
      <c r="A8" s="4" t="s">
        <v>281</v>
      </c>
      <c r="B8" s="1">
        <v>3.2413793103448274</v>
      </c>
    </row>
    <row r="9" spans="1:7" x14ac:dyDescent="0.3">
      <c r="A9" s="4" t="s">
        <v>611</v>
      </c>
      <c r="B9" s="1">
        <v>3.3174603174603177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8541-FD49-4F25-AB87-8461F339C091}">
  <dimension ref="A3:G6"/>
  <sheetViews>
    <sheetView workbookViewId="0">
      <selection activeCell="J6" sqref="J6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7" x14ac:dyDescent="0.3">
      <c r="A3" s="3" t="s">
        <v>610</v>
      </c>
      <c r="B3" t="s">
        <v>612</v>
      </c>
    </row>
    <row r="4" spans="1:7" x14ac:dyDescent="0.3">
      <c r="A4" s="4" t="s">
        <v>614</v>
      </c>
      <c r="B4" s="1">
        <v>3.4831460674157304</v>
      </c>
    </row>
    <row r="5" spans="1:7" x14ac:dyDescent="0.3">
      <c r="A5" s="4" t="s">
        <v>615</v>
      </c>
      <c r="B5" s="1">
        <v>3.17</v>
      </c>
      <c r="G5" t="s">
        <v>616</v>
      </c>
    </row>
    <row r="6" spans="1:7" x14ac:dyDescent="0.3">
      <c r="A6" s="4" t="s">
        <v>611</v>
      </c>
      <c r="B6" s="1">
        <v>3.3174603174603177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F3C5-2127-4EA6-98F6-BAC530714214}">
  <dimension ref="A3:G13"/>
  <sheetViews>
    <sheetView workbookViewId="0">
      <selection activeCell="K5" sqref="K5"/>
    </sheetView>
  </sheetViews>
  <sheetFormatPr defaultRowHeight="14.4" x14ac:dyDescent="0.3"/>
  <cols>
    <col min="1" max="1" width="12.44140625" bestFit="1" customWidth="1"/>
    <col min="2" max="2" width="14.6640625" bestFit="1" customWidth="1"/>
  </cols>
  <sheetData>
    <row r="3" spans="1:7" x14ac:dyDescent="0.3">
      <c r="A3" s="3" t="s">
        <v>610</v>
      </c>
      <c r="B3" t="s">
        <v>612</v>
      </c>
    </row>
    <row r="4" spans="1:7" x14ac:dyDescent="0.3">
      <c r="A4" s="4">
        <v>1</v>
      </c>
      <c r="B4" s="1">
        <v>4</v>
      </c>
    </row>
    <row r="5" spans="1:7" x14ac:dyDescent="0.3">
      <c r="A5" s="4">
        <v>2</v>
      </c>
      <c r="B5" s="1">
        <v>3.25</v>
      </c>
    </row>
    <row r="6" spans="1:7" x14ac:dyDescent="0.3">
      <c r="A6" s="4">
        <v>3</v>
      </c>
      <c r="B6" s="1">
        <v>3.2619047619047619</v>
      </c>
      <c r="G6" t="s">
        <v>617</v>
      </c>
    </row>
    <row r="7" spans="1:7" x14ac:dyDescent="0.3">
      <c r="A7" s="4">
        <v>4</v>
      </c>
      <c r="B7" s="1">
        <v>3.1842105263157894</v>
      </c>
    </row>
    <row r="8" spans="1:7" x14ac:dyDescent="0.3">
      <c r="A8" s="4">
        <v>5</v>
      </c>
      <c r="B8" s="1">
        <v>3.5666666666666669</v>
      </c>
    </row>
    <row r="9" spans="1:7" x14ac:dyDescent="0.3">
      <c r="A9" s="4">
        <v>6</v>
      </c>
      <c r="B9" s="1">
        <v>3.0555555555555554</v>
      </c>
    </row>
    <row r="10" spans="1:7" x14ac:dyDescent="0.3">
      <c r="A10" s="4">
        <v>7</v>
      </c>
      <c r="B10" s="1">
        <v>3.2</v>
      </c>
    </row>
    <row r="11" spans="1:7" x14ac:dyDescent="0.3">
      <c r="A11" s="4">
        <v>8</v>
      </c>
      <c r="B11" s="1">
        <v>3.3846153846153846</v>
      </c>
    </row>
    <row r="12" spans="1:7" x14ac:dyDescent="0.3">
      <c r="A12" s="4">
        <v>9</v>
      </c>
      <c r="B12" s="1">
        <v>4</v>
      </c>
    </row>
    <row r="13" spans="1:7" x14ac:dyDescent="0.3">
      <c r="A13" s="4" t="s">
        <v>611</v>
      </c>
      <c r="B13" s="1">
        <v>3.3174603174603177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78B4-9C24-4452-AB43-1248C62A7CD5}">
  <dimension ref="A1:B8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618</v>
      </c>
    </row>
    <row r="3" spans="1:2" x14ac:dyDescent="0.3">
      <c r="A3" t="s">
        <v>619</v>
      </c>
    </row>
    <row r="4" spans="1:2" x14ac:dyDescent="0.3">
      <c r="A4" t="s">
        <v>620</v>
      </c>
      <c r="B4" t="s">
        <v>621</v>
      </c>
    </row>
    <row r="5" spans="1:2" x14ac:dyDescent="0.3">
      <c r="A5" t="s">
        <v>622</v>
      </c>
      <c r="B5" t="s">
        <v>623</v>
      </c>
    </row>
    <row r="6" spans="1:2" x14ac:dyDescent="0.3">
      <c r="A6" t="s">
        <v>624</v>
      </c>
      <c r="B6" t="s">
        <v>625</v>
      </c>
    </row>
    <row r="7" spans="1:2" x14ac:dyDescent="0.3">
      <c r="A7" t="s">
        <v>626</v>
      </c>
      <c r="B7" t="s">
        <v>627</v>
      </c>
    </row>
    <row r="8" spans="1:2" x14ac:dyDescent="0.3">
      <c r="A8" t="s">
        <v>628</v>
      </c>
      <c r="B8" t="s">
        <v>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AA78-227E-4BC4-B6D2-DD46735DEB70}">
  <dimension ref="A1:I196"/>
  <sheetViews>
    <sheetView workbookViewId="0">
      <selection activeCell="I1" sqref="I1"/>
    </sheetView>
  </sheetViews>
  <sheetFormatPr defaultRowHeight="14.4" x14ac:dyDescent="0.3"/>
  <cols>
    <col min="1" max="1" width="11.109375" bestFit="1" customWidth="1"/>
    <col min="2" max="2" width="12.21875" bestFit="1" customWidth="1"/>
    <col min="3" max="3" width="8" bestFit="1" customWidth="1"/>
    <col min="4" max="4" width="14.5546875" bestFit="1" customWidth="1"/>
    <col min="5" max="5" width="9.5546875" bestFit="1" customWidth="1"/>
    <col min="6" max="6" width="13.21875" bestFit="1" customWidth="1"/>
    <col min="7" max="7" width="16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266</v>
      </c>
      <c r="I1" t="s">
        <v>331</v>
      </c>
    </row>
    <row r="2" spans="1:9" x14ac:dyDescent="0.3">
      <c r="A2" s="1" t="s">
        <v>7</v>
      </c>
      <c r="B2" s="1" t="s">
        <v>8</v>
      </c>
      <c r="C2">
        <v>5</v>
      </c>
      <c r="D2">
        <v>26</v>
      </c>
      <c r="E2" t="b">
        <v>1</v>
      </c>
      <c r="F2" s="2">
        <v>45779</v>
      </c>
      <c r="G2" t="b">
        <v>0</v>
      </c>
      <c r="H2" t="str">
        <f>_xlfn.XLOOKUP(B2,Products!A:A,Products!B:B,"Not Found")</f>
        <v>Beauty</v>
      </c>
      <c r="I2">
        <f>_xlfn.XLOOKUP(A2,Orders!B:B,Orders!C:C,"Not Found")</f>
        <v>2</v>
      </c>
    </row>
    <row r="3" spans="1:9" x14ac:dyDescent="0.3">
      <c r="A3" s="1" t="s">
        <v>9</v>
      </c>
      <c r="B3" s="1" t="s">
        <v>10</v>
      </c>
      <c r="C3">
        <v>4</v>
      </c>
      <c r="D3">
        <v>24</v>
      </c>
      <c r="E3" t="b">
        <v>0</v>
      </c>
      <c r="F3" s="2">
        <v>45788</v>
      </c>
      <c r="G3" t="b">
        <v>0</v>
      </c>
      <c r="H3" t="str">
        <f>_xlfn.XLOOKUP(B3,Products!A:A,Products!B:B,"Not Found")</f>
        <v>Home</v>
      </c>
      <c r="I3">
        <f>_xlfn.XLOOKUP(A3,Orders!B:B,Orders!C:C,"Not Found")</f>
        <v>5</v>
      </c>
    </row>
    <row r="4" spans="1:9" x14ac:dyDescent="0.3">
      <c r="A4" s="1" t="s">
        <v>11</v>
      </c>
      <c r="B4" s="1" t="s">
        <v>12</v>
      </c>
      <c r="C4">
        <v>3</v>
      </c>
      <c r="D4">
        <v>136</v>
      </c>
      <c r="E4" t="b">
        <v>1</v>
      </c>
      <c r="F4" s="2">
        <v>45808</v>
      </c>
      <c r="G4" t="b">
        <v>1</v>
      </c>
      <c r="H4" t="str">
        <f>_xlfn.XLOOKUP(B4,Products!A:A,Products!B:B,"Not Found")</f>
        <v>Books</v>
      </c>
      <c r="I4">
        <f>_xlfn.XLOOKUP(A4,Orders!B:B,Orders!C:C,"Not Found")</f>
        <v>6</v>
      </c>
    </row>
    <row r="5" spans="1:9" x14ac:dyDescent="0.3">
      <c r="A5" s="1" t="s">
        <v>13</v>
      </c>
      <c r="B5" s="1" t="s">
        <v>14</v>
      </c>
      <c r="C5">
        <v>2</v>
      </c>
      <c r="D5">
        <v>48</v>
      </c>
      <c r="E5" t="b">
        <v>1</v>
      </c>
      <c r="F5" s="2">
        <v>45662</v>
      </c>
      <c r="G5" t="b">
        <v>0</v>
      </c>
      <c r="H5" t="str">
        <f>_xlfn.XLOOKUP(B5,Products!A:A,Products!B:B,"Not Found")</f>
        <v>Electronics</v>
      </c>
      <c r="I5">
        <f>_xlfn.XLOOKUP(A5,Orders!B:B,Orders!C:C,"Not Found")</f>
        <v>3</v>
      </c>
    </row>
    <row r="6" spans="1:9" x14ac:dyDescent="0.3">
      <c r="A6" s="1" t="s">
        <v>15</v>
      </c>
      <c r="B6" s="1" t="s">
        <v>16</v>
      </c>
      <c r="C6">
        <v>5</v>
      </c>
      <c r="D6">
        <v>30</v>
      </c>
      <c r="E6" t="b">
        <v>1</v>
      </c>
      <c r="F6" s="2">
        <v>45895</v>
      </c>
      <c r="G6" t="b">
        <v>0</v>
      </c>
      <c r="H6" t="str">
        <f>_xlfn.XLOOKUP(B6,Products!A:A,Products!B:B,"Not Found")</f>
        <v>Electronics</v>
      </c>
      <c r="I6">
        <f>_xlfn.XLOOKUP(A6,Orders!B:B,Orders!C:C,"Not Found")</f>
        <v>2</v>
      </c>
    </row>
    <row r="7" spans="1:9" x14ac:dyDescent="0.3">
      <c r="A7" s="1" t="s">
        <v>17</v>
      </c>
      <c r="B7" s="1" t="s">
        <v>18</v>
      </c>
      <c r="C7">
        <v>4</v>
      </c>
      <c r="D7">
        <v>62</v>
      </c>
      <c r="E7" t="b">
        <v>1</v>
      </c>
      <c r="F7" s="2">
        <v>45777</v>
      </c>
      <c r="G7" t="b">
        <v>0</v>
      </c>
      <c r="H7" t="str">
        <f>_xlfn.XLOOKUP(B7,Products!A:A,Products!B:B,"Not Found")</f>
        <v>Electronics</v>
      </c>
      <c r="I7">
        <f>_xlfn.XLOOKUP(A7,Orders!B:B,Orders!C:C,"Not Found")</f>
        <v>6</v>
      </c>
    </row>
    <row r="8" spans="1:9" x14ac:dyDescent="0.3">
      <c r="A8" s="1" t="s">
        <v>19</v>
      </c>
      <c r="B8" s="1" t="s">
        <v>20</v>
      </c>
      <c r="C8">
        <v>1</v>
      </c>
      <c r="D8">
        <v>20</v>
      </c>
      <c r="E8" t="b">
        <v>0</v>
      </c>
      <c r="F8" s="2">
        <v>45701</v>
      </c>
      <c r="G8" t="b">
        <v>0</v>
      </c>
      <c r="H8" t="str">
        <f>_xlfn.XLOOKUP(B8,Products!A:A,Products!B:B,"Not Found")</f>
        <v>Home</v>
      </c>
      <c r="I8">
        <f>_xlfn.XLOOKUP(A8,Orders!B:B,Orders!C:C,"Not Found")</f>
        <v>5</v>
      </c>
    </row>
    <row r="9" spans="1:9" x14ac:dyDescent="0.3">
      <c r="A9" s="1" t="s">
        <v>21</v>
      </c>
      <c r="B9" s="1" t="s">
        <v>22</v>
      </c>
      <c r="C9">
        <v>4</v>
      </c>
      <c r="D9">
        <v>28</v>
      </c>
      <c r="E9" t="b">
        <v>0</v>
      </c>
      <c r="F9" s="2">
        <v>45979</v>
      </c>
      <c r="G9" t="b">
        <v>0</v>
      </c>
      <c r="H9" t="str">
        <f>_xlfn.XLOOKUP(B9,Products!A:A,Products!B:B,"Not Found")</f>
        <v>Beauty</v>
      </c>
      <c r="I9">
        <f>_xlfn.XLOOKUP(A9,Orders!B:B,Orders!C:C,"Not Found")</f>
        <v>3</v>
      </c>
    </row>
    <row r="10" spans="1:9" x14ac:dyDescent="0.3">
      <c r="A10" s="1" t="s">
        <v>23</v>
      </c>
      <c r="B10" s="1" t="s">
        <v>12</v>
      </c>
      <c r="C10">
        <v>5</v>
      </c>
      <c r="D10">
        <v>32</v>
      </c>
      <c r="E10" t="b">
        <v>0</v>
      </c>
      <c r="F10" s="2">
        <v>45889</v>
      </c>
      <c r="G10" t="b">
        <v>0</v>
      </c>
      <c r="H10" t="str">
        <f>_xlfn.XLOOKUP(B10,Products!A:A,Products!B:B,"Not Found")</f>
        <v>Books</v>
      </c>
      <c r="I10">
        <f>_xlfn.XLOOKUP(A10,Orders!B:B,Orders!C:C,"Not Found")</f>
        <v>7</v>
      </c>
    </row>
    <row r="11" spans="1:9" x14ac:dyDescent="0.3">
      <c r="A11" s="1" t="s">
        <v>24</v>
      </c>
      <c r="B11" s="1" t="s">
        <v>25</v>
      </c>
      <c r="C11">
        <v>2</v>
      </c>
      <c r="D11">
        <v>27</v>
      </c>
      <c r="E11" t="b">
        <v>1</v>
      </c>
      <c r="F11" s="2">
        <v>45940</v>
      </c>
      <c r="G11" t="b">
        <v>0</v>
      </c>
      <c r="H11" t="str">
        <f>_xlfn.XLOOKUP(B11,Products!A:A,Products!B:B,"Not Found")</f>
        <v>Books</v>
      </c>
      <c r="I11">
        <f>_xlfn.XLOOKUP(A11,Orders!B:B,Orders!C:C,"Not Found")</f>
        <v>5</v>
      </c>
    </row>
    <row r="12" spans="1:9" x14ac:dyDescent="0.3">
      <c r="A12" s="1" t="s">
        <v>26</v>
      </c>
      <c r="B12" s="1" t="s">
        <v>27</v>
      </c>
      <c r="C12">
        <v>4</v>
      </c>
      <c r="D12">
        <v>16</v>
      </c>
      <c r="E12" t="b">
        <v>0</v>
      </c>
      <c r="F12" s="2">
        <v>45693</v>
      </c>
      <c r="G12" t="b">
        <v>0</v>
      </c>
      <c r="H12" t="str">
        <f>_xlfn.XLOOKUP(B12,Products!A:A,Products!B:B,"Not Found")</f>
        <v>Beauty</v>
      </c>
      <c r="I12">
        <f>_xlfn.XLOOKUP(A12,Orders!B:B,Orders!C:C,"Not Found")</f>
        <v>8</v>
      </c>
    </row>
    <row r="13" spans="1:9" x14ac:dyDescent="0.3">
      <c r="A13" s="1" t="s">
        <v>28</v>
      </c>
      <c r="B13" s="1" t="s">
        <v>29</v>
      </c>
      <c r="C13">
        <v>5</v>
      </c>
      <c r="D13">
        <v>45</v>
      </c>
      <c r="E13" t="b">
        <v>1</v>
      </c>
      <c r="F13" s="2">
        <v>45740</v>
      </c>
      <c r="G13" t="b">
        <v>0</v>
      </c>
      <c r="H13" t="str">
        <f>_xlfn.XLOOKUP(B13,Products!A:A,Products!B:B,"Not Found")</f>
        <v>Sports</v>
      </c>
      <c r="I13">
        <f>_xlfn.XLOOKUP(A13,Orders!B:B,Orders!C:C,"Not Found")</f>
        <v>5</v>
      </c>
    </row>
    <row r="14" spans="1:9" x14ac:dyDescent="0.3">
      <c r="A14" s="1" t="s">
        <v>30</v>
      </c>
      <c r="B14" s="1" t="s">
        <v>31</v>
      </c>
      <c r="C14">
        <v>1</v>
      </c>
      <c r="D14">
        <v>26</v>
      </c>
      <c r="E14" t="b">
        <v>0</v>
      </c>
      <c r="F14" s="2">
        <v>45864</v>
      </c>
      <c r="G14" t="b">
        <v>0</v>
      </c>
      <c r="H14" t="str">
        <f>_xlfn.XLOOKUP(B14,Products!A:A,Products!B:B,"Not Found")</f>
        <v>Sports</v>
      </c>
      <c r="I14">
        <f>_xlfn.XLOOKUP(A14,Orders!B:B,Orders!C:C,"Not Found")</f>
        <v>4</v>
      </c>
    </row>
    <row r="15" spans="1:9" x14ac:dyDescent="0.3">
      <c r="A15" s="1" t="s">
        <v>32</v>
      </c>
      <c r="B15" s="1" t="s">
        <v>33</v>
      </c>
      <c r="C15">
        <v>2</v>
      </c>
      <c r="D15">
        <v>28</v>
      </c>
      <c r="E15" t="b">
        <v>0</v>
      </c>
      <c r="F15" s="2">
        <v>45687</v>
      </c>
      <c r="G15" t="b">
        <v>0</v>
      </c>
      <c r="H15" t="str">
        <f>_xlfn.XLOOKUP(B15,Products!A:A,Products!B:B,"Not Found")</f>
        <v>Books</v>
      </c>
      <c r="I15">
        <f>_xlfn.XLOOKUP(A15,Orders!B:B,Orders!C:C,"Not Found")</f>
        <v>4</v>
      </c>
    </row>
    <row r="16" spans="1:9" x14ac:dyDescent="0.3">
      <c r="A16" s="1" t="s">
        <v>34</v>
      </c>
      <c r="B16" s="1" t="s">
        <v>35</v>
      </c>
      <c r="C16">
        <v>5</v>
      </c>
      <c r="D16">
        <v>14</v>
      </c>
      <c r="E16" t="b">
        <v>0</v>
      </c>
      <c r="F16" s="2">
        <v>45988</v>
      </c>
      <c r="G16" t="b">
        <v>0</v>
      </c>
      <c r="H16" t="str">
        <f>_xlfn.XLOOKUP(B16,Products!A:A,Products!B:B,"Not Found")</f>
        <v>Sports</v>
      </c>
      <c r="I16">
        <f>_xlfn.XLOOKUP(A16,Orders!B:B,Orders!C:C,"Not Found")</f>
        <v>9</v>
      </c>
    </row>
    <row r="17" spans="1:9" x14ac:dyDescent="0.3">
      <c r="A17" s="1" t="s">
        <v>36</v>
      </c>
      <c r="B17" s="1" t="s">
        <v>37</v>
      </c>
      <c r="C17">
        <v>4</v>
      </c>
      <c r="D17">
        <v>33</v>
      </c>
      <c r="E17" t="b">
        <v>1</v>
      </c>
      <c r="F17" s="2">
        <v>45748</v>
      </c>
      <c r="G17" t="b">
        <v>0</v>
      </c>
      <c r="H17" t="str">
        <f>_xlfn.XLOOKUP(B17,Products!A:A,Products!B:B,"Not Found")</f>
        <v>Home</v>
      </c>
      <c r="I17">
        <f>_xlfn.XLOOKUP(A17,Orders!B:B,Orders!C:C,"Not Found")</f>
        <v>2</v>
      </c>
    </row>
    <row r="18" spans="1:9" x14ac:dyDescent="0.3">
      <c r="A18" s="1" t="s">
        <v>38</v>
      </c>
      <c r="B18" s="1" t="s">
        <v>39</v>
      </c>
      <c r="C18">
        <v>5</v>
      </c>
      <c r="D18">
        <v>87</v>
      </c>
      <c r="E18" t="b">
        <v>1</v>
      </c>
      <c r="F18" s="2">
        <v>45740</v>
      </c>
      <c r="G18" t="b">
        <v>0</v>
      </c>
      <c r="H18" t="str">
        <f>_xlfn.XLOOKUP(B18,Products!A:A,Products!B:B,"Not Found")</f>
        <v>Sports</v>
      </c>
      <c r="I18">
        <f>_xlfn.XLOOKUP(A18,Orders!B:B,Orders!C:C,"Not Found")</f>
        <v>3</v>
      </c>
    </row>
    <row r="19" spans="1:9" x14ac:dyDescent="0.3">
      <c r="A19" s="1" t="s">
        <v>40</v>
      </c>
      <c r="B19" s="1" t="s">
        <v>10</v>
      </c>
      <c r="C19">
        <v>4</v>
      </c>
      <c r="D19">
        <v>32</v>
      </c>
      <c r="E19" t="b">
        <v>1</v>
      </c>
      <c r="F19" s="2">
        <v>45965</v>
      </c>
      <c r="G19" t="b">
        <v>0</v>
      </c>
      <c r="H19" t="str">
        <f>_xlfn.XLOOKUP(B19,Products!A:A,Products!B:B,"Not Found")</f>
        <v>Home</v>
      </c>
      <c r="I19">
        <f>_xlfn.XLOOKUP(A19,Orders!B:B,Orders!C:C,"Not Found")</f>
        <v>3</v>
      </c>
    </row>
    <row r="20" spans="1:9" x14ac:dyDescent="0.3">
      <c r="A20" s="1" t="s">
        <v>41</v>
      </c>
      <c r="B20" s="1" t="s">
        <v>42</v>
      </c>
      <c r="C20">
        <v>1</v>
      </c>
      <c r="D20">
        <v>99</v>
      </c>
      <c r="E20" t="b">
        <v>1</v>
      </c>
      <c r="F20" s="2">
        <v>45683</v>
      </c>
      <c r="G20" t="b">
        <v>0</v>
      </c>
      <c r="H20" t="str">
        <f>_xlfn.XLOOKUP(B20,Products!A:A,Products!B:B,"Not Found")</f>
        <v>Sports</v>
      </c>
      <c r="I20">
        <f>_xlfn.XLOOKUP(A20,Orders!B:B,Orders!C:C,"Not Found")</f>
        <v>6</v>
      </c>
    </row>
    <row r="21" spans="1:9" x14ac:dyDescent="0.3">
      <c r="A21" s="1" t="s">
        <v>43</v>
      </c>
      <c r="B21" s="1" t="s">
        <v>44</v>
      </c>
      <c r="C21">
        <v>5</v>
      </c>
      <c r="D21">
        <v>56</v>
      </c>
      <c r="E21" t="b">
        <v>1</v>
      </c>
      <c r="F21" s="2">
        <v>45896</v>
      </c>
      <c r="G21" t="b">
        <v>0</v>
      </c>
      <c r="H21" t="str">
        <f>_xlfn.XLOOKUP(B21,Products!A:A,Products!B:B,"Not Found")</f>
        <v>Home</v>
      </c>
      <c r="I21">
        <f>_xlfn.XLOOKUP(A21,Orders!B:B,Orders!C:C,"Not Found")</f>
        <v>6</v>
      </c>
    </row>
    <row r="22" spans="1:9" x14ac:dyDescent="0.3">
      <c r="A22" s="1" t="s">
        <v>45</v>
      </c>
      <c r="B22" s="1" t="s">
        <v>39</v>
      </c>
      <c r="C22">
        <v>4</v>
      </c>
      <c r="D22">
        <v>49</v>
      </c>
      <c r="E22" t="b">
        <v>1</v>
      </c>
      <c r="F22" s="2">
        <v>46002</v>
      </c>
      <c r="G22" t="b">
        <v>0</v>
      </c>
      <c r="H22" t="str">
        <f>_xlfn.XLOOKUP(B22,Products!A:A,Products!B:B,"Not Found")</f>
        <v>Sports</v>
      </c>
      <c r="I22">
        <f>_xlfn.XLOOKUP(A22,Orders!B:B,Orders!C:C,"Not Found")</f>
        <v>8</v>
      </c>
    </row>
    <row r="23" spans="1:9" x14ac:dyDescent="0.3">
      <c r="A23" s="1" t="s">
        <v>46</v>
      </c>
      <c r="B23" s="1" t="s">
        <v>47</v>
      </c>
      <c r="C23">
        <v>1</v>
      </c>
      <c r="D23">
        <v>41</v>
      </c>
      <c r="E23" t="b">
        <v>1</v>
      </c>
      <c r="F23" s="2">
        <v>45909</v>
      </c>
      <c r="G23" t="b">
        <v>0</v>
      </c>
      <c r="H23" t="str">
        <f>_xlfn.XLOOKUP(B23,Products!A:A,Products!B:B,"Not Found")</f>
        <v>Home</v>
      </c>
      <c r="I23">
        <f>_xlfn.XLOOKUP(A23,Orders!B:B,Orders!C:C,"Not Found")</f>
        <v>4</v>
      </c>
    </row>
    <row r="24" spans="1:9" x14ac:dyDescent="0.3">
      <c r="A24" s="1" t="s">
        <v>48</v>
      </c>
      <c r="B24" s="1" t="s">
        <v>49</v>
      </c>
      <c r="C24">
        <v>5</v>
      </c>
      <c r="D24">
        <v>58</v>
      </c>
      <c r="E24" t="b">
        <v>1</v>
      </c>
      <c r="F24" s="2">
        <v>45893</v>
      </c>
      <c r="G24" t="b">
        <v>0</v>
      </c>
      <c r="H24" t="str">
        <f>_xlfn.XLOOKUP(B24,Products!A:A,Products!B:B,"Not Found")</f>
        <v>Sports</v>
      </c>
      <c r="I24">
        <f>_xlfn.XLOOKUP(A24,Orders!B:B,Orders!C:C,"Not Found")</f>
        <v>3</v>
      </c>
    </row>
    <row r="25" spans="1:9" x14ac:dyDescent="0.3">
      <c r="A25" s="1" t="s">
        <v>50</v>
      </c>
      <c r="B25" s="1" t="s">
        <v>42</v>
      </c>
      <c r="C25">
        <v>3</v>
      </c>
      <c r="D25">
        <v>39</v>
      </c>
      <c r="E25" t="b">
        <v>0</v>
      </c>
      <c r="F25" s="2">
        <v>45660</v>
      </c>
      <c r="G25" t="b">
        <v>0</v>
      </c>
      <c r="H25" t="str">
        <f>_xlfn.XLOOKUP(B25,Products!A:A,Products!B:B,"Not Found")</f>
        <v>Sports</v>
      </c>
      <c r="I25">
        <f>_xlfn.XLOOKUP(A25,Orders!B:B,Orders!C:C,"Not Found")</f>
        <v>2</v>
      </c>
    </row>
    <row r="26" spans="1:9" x14ac:dyDescent="0.3">
      <c r="A26" s="1" t="s">
        <v>51</v>
      </c>
      <c r="B26" s="1" t="s">
        <v>52</v>
      </c>
      <c r="C26">
        <v>3</v>
      </c>
      <c r="D26">
        <v>81</v>
      </c>
      <c r="E26" t="b">
        <v>0</v>
      </c>
      <c r="F26" s="2">
        <v>45792</v>
      </c>
      <c r="G26" t="b">
        <v>0</v>
      </c>
      <c r="H26" t="str">
        <f>_xlfn.XLOOKUP(B26,Products!A:A,Products!B:B,"Not Found")</f>
        <v>Sports</v>
      </c>
      <c r="I26">
        <f>_xlfn.XLOOKUP(A26,Orders!B:B,Orders!C:C,"Not Found")</f>
        <v>5</v>
      </c>
    </row>
    <row r="27" spans="1:9" x14ac:dyDescent="0.3">
      <c r="A27" s="1" t="s">
        <v>53</v>
      </c>
      <c r="B27" s="1" t="s">
        <v>35</v>
      </c>
      <c r="C27">
        <v>5</v>
      </c>
      <c r="D27">
        <v>47</v>
      </c>
      <c r="E27" t="b">
        <v>0</v>
      </c>
      <c r="F27" s="2">
        <v>45951</v>
      </c>
      <c r="G27" t="b">
        <v>0</v>
      </c>
      <c r="H27" t="str">
        <f>_xlfn.XLOOKUP(B27,Products!A:A,Products!B:B,"Not Found")</f>
        <v>Sports</v>
      </c>
      <c r="I27">
        <f>_xlfn.XLOOKUP(A27,Orders!B:B,Orders!C:C,"Not Found")</f>
        <v>3</v>
      </c>
    </row>
    <row r="28" spans="1:9" x14ac:dyDescent="0.3">
      <c r="A28" s="1" t="s">
        <v>54</v>
      </c>
      <c r="B28" s="1" t="s">
        <v>47</v>
      </c>
      <c r="C28">
        <v>5</v>
      </c>
      <c r="D28">
        <v>73</v>
      </c>
      <c r="E28" t="b">
        <v>0</v>
      </c>
      <c r="F28" s="2">
        <v>45808</v>
      </c>
      <c r="G28" t="b">
        <v>0</v>
      </c>
      <c r="H28" t="str">
        <f>_xlfn.XLOOKUP(B28,Products!A:A,Products!B:B,"Not Found")</f>
        <v>Home</v>
      </c>
      <c r="I28">
        <f>_xlfn.XLOOKUP(A28,Orders!B:B,Orders!C:C,"Not Found")</f>
        <v>6</v>
      </c>
    </row>
    <row r="29" spans="1:9" x14ac:dyDescent="0.3">
      <c r="A29" s="1" t="s">
        <v>55</v>
      </c>
      <c r="B29" s="1" t="s">
        <v>56</v>
      </c>
      <c r="C29">
        <v>5</v>
      </c>
      <c r="D29">
        <v>16</v>
      </c>
      <c r="E29" t="b">
        <v>1</v>
      </c>
      <c r="F29" s="2">
        <v>45924</v>
      </c>
      <c r="G29" t="b">
        <v>0</v>
      </c>
      <c r="H29" t="str">
        <f>_xlfn.XLOOKUP(B29,Products!A:A,Products!B:B,"Not Found")</f>
        <v>Beauty</v>
      </c>
      <c r="I29">
        <f>_xlfn.XLOOKUP(A29,Orders!B:B,Orders!C:C,"Not Found")</f>
        <v>4</v>
      </c>
    </row>
    <row r="30" spans="1:9" x14ac:dyDescent="0.3">
      <c r="A30" s="1" t="s">
        <v>57</v>
      </c>
      <c r="B30" s="1" t="s">
        <v>58</v>
      </c>
      <c r="C30">
        <v>3</v>
      </c>
      <c r="D30">
        <v>35</v>
      </c>
      <c r="E30" t="b">
        <v>1</v>
      </c>
      <c r="F30" s="2">
        <v>45983</v>
      </c>
      <c r="G30" t="b">
        <v>0</v>
      </c>
      <c r="H30" t="str">
        <f>_xlfn.XLOOKUP(B30,Products!A:A,Products!B:B,"Not Found")</f>
        <v>Electronics</v>
      </c>
      <c r="I30">
        <f>_xlfn.XLOOKUP(A30,Orders!B:B,Orders!C:C,"Not Found")</f>
        <v>4</v>
      </c>
    </row>
    <row r="31" spans="1:9" x14ac:dyDescent="0.3">
      <c r="A31" s="1" t="s">
        <v>59</v>
      </c>
      <c r="B31" s="1" t="s">
        <v>60</v>
      </c>
      <c r="C31">
        <v>5</v>
      </c>
      <c r="D31">
        <v>15</v>
      </c>
      <c r="E31" t="b">
        <v>1</v>
      </c>
      <c r="F31" s="2">
        <v>45811</v>
      </c>
      <c r="G31" t="b">
        <v>0</v>
      </c>
      <c r="H31" t="str">
        <f>_xlfn.XLOOKUP(B31,Products!A:A,Products!B:B,"Not Found")</f>
        <v>Books</v>
      </c>
      <c r="I31">
        <f>_xlfn.XLOOKUP(A31,Orders!B:B,Orders!C:C,"Not Found")</f>
        <v>7</v>
      </c>
    </row>
    <row r="32" spans="1:9" x14ac:dyDescent="0.3">
      <c r="A32" s="1" t="s">
        <v>61</v>
      </c>
      <c r="B32" s="1" t="s">
        <v>35</v>
      </c>
      <c r="C32">
        <v>1</v>
      </c>
      <c r="D32">
        <v>90</v>
      </c>
      <c r="E32" t="b">
        <v>1</v>
      </c>
      <c r="F32" s="2">
        <v>45679</v>
      </c>
      <c r="G32" t="b">
        <v>0</v>
      </c>
      <c r="H32" t="str">
        <f>_xlfn.XLOOKUP(B32,Products!A:A,Products!B:B,"Not Found")</f>
        <v>Sports</v>
      </c>
      <c r="I32">
        <f>_xlfn.XLOOKUP(A32,Orders!B:B,Orders!C:C,"Not Found")</f>
        <v>4</v>
      </c>
    </row>
    <row r="33" spans="1:9" x14ac:dyDescent="0.3">
      <c r="A33" s="1" t="s">
        <v>62</v>
      </c>
      <c r="B33" s="1" t="s">
        <v>63</v>
      </c>
      <c r="C33">
        <v>4</v>
      </c>
      <c r="D33">
        <v>9</v>
      </c>
      <c r="E33" t="b">
        <v>1</v>
      </c>
      <c r="F33" s="2">
        <v>45675</v>
      </c>
      <c r="G33" t="b">
        <v>0</v>
      </c>
      <c r="H33" t="str">
        <f>_xlfn.XLOOKUP(B33,Products!A:A,Products!B:B,"Not Found")</f>
        <v>Sports</v>
      </c>
      <c r="I33">
        <f>_xlfn.XLOOKUP(A33,Orders!B:B,Orders!C:C,"Not Found")</f>
        <v>1</v>
      </c>
    </row>
    <row r="34" spans="1:9" x14ac:dyDescent="0.3">
      <c r="A34" s="1" t="s">
        <v>64</v>
      </c>
      <c r="B34" s="1" t="s">
        <v>65</v>
      </c>
      <c r="C34">
        <v>3</v>
      </c>
      <c r="D34">
        <v>9</v>
      </c>
      <c r="E34" t="b">
        <v>0</v>
      </c>
      <c r="F34" s="2">
        <v>45989</v>
      </c>
      <c r="G34" t="b">
        <v>0</v>
      </c>
      <c r="H34" t="str">
        <f>_xlfn.XLOOKUP(B34,Products!A:A,Products!B:B,"Not Found")</f>
        <v>Home</v>
      </c>
      <c r="I34">
        <f>_xlfn.XLOOKUP(A34,Orders!B:B,Orders!C:C,"Not Found")</f>
        <v>2</v>
      </c>
    </row>
    <row r="35" spans="1:9" x14ac:dyDescent="0.3">
      <c r="A35" s="1" t="s">
        <v>66</v>
      </c>
      <c r="B35" s="1" t="s">
        <v>37</v>
      </c>
      <c r="C35">
        <v>3</v>
      </c>
      <c r="D35">
        <v>23</v>
      </c>
      <c r="E35" t="b">
        <v>0</v>
      </c>
      <c r="F35" s="2">
        <v>46018</v>
      </c>
      <c r="G35" t="b">
        <v>0</v>
      </c>
      <c r="H35" t="str">
        <f>_xlfn.XLOOKUP(B35,Products!A:A,Products!B:B,"Not Found")</f>
        <v>Home</v>
      </c>
      <c r="I35">
        <f>_xlfn.XLOOKUP(A35,Orders!B:B,Orders!C:C,"Not Found")</f>
        <v>6</v>
      </c>
    </row>
    <row r="36" spans="1:9" x14ac:dyDescent="0.3">
      <c r="A36" s="1" t="s">
        <v>67</v>
      </c>
      <c r="B36" s="1" t="s">
        <v>68</v>
      </c>
      <c r="C36">
        <v>4</v>
      </c>
      <c r="D36">
        <v>65</v>
      </c>
      <c r="E36" t="b">
        <v>0</v>
      </c>
      <c r="F36" s="2">
        <v>45739</v>
      </c>
      <c r="G36" t="b">
        <v>0</v>
      </c>
      <c r="H36" t="str">
        <f>_xlfn.XLOOKUP(B36,Products!A:A,Products!B:B,"Not Found")</f>
        <v>Sports</v>
      </c>
      <c r="I36">
        <f>_xlfn.XLOOKUP(A36,Orders!B:B,Orders!C:C,"Not Found")</f>
        <v>5</v>
      </c>
    </row>
    <row r="37" spans="1:9" x14ac:dyDescent="0.3">
      <c r="A37" s="1" t="s">
        <v>69</v>
      </c>
      <c r="B37" s="1" t="s">
        <v>68</v>
      </c>
      <c r="C37">
        <v>5</v>
      </c>
      <c r="D37">
        <v>42</v>
      </c>
      <c r="E37" t="b">
        <v>0</v>
      </c>
      <c r="F37" s="2">
        <v>45918</v>
      </c>
      <c r="G37" t="b">
        <v>0</v>
      </c>
      <c r="H37" t="str">
        <f>_xlfn.XLOOKUP(B37,Products!A:A,Products!B:B,"Not Found")</f>
        <v>Sports</v>
      </c>
      <c r="I37">
        <f>_xlfn.XLOOKUP(A37,Orders!B:B,Orders!C:C,"Not Found")</f>
        <v>4</v>
      </c>
    </row>
    <row r="38" spans="1:9" x14ac:dyDescent="0.3">
      <c r="A38" s="1" t="s">
        <v>70</v>
      </c>
      <c r="B38" s="1" t="s">
        <v>71</v>
      </c>
      <c r="C38">
        <v>1</v>
      </c>
      <c r="D38">
        <v>43</v>
      </c>
      <c r="E38" t="b">
        <v>1</v>
      </c>
      <c r="F38" s="2">
        <v>45764</v>
      </c>
      <c r="G38" t="b">
        <v>0</v>
      </c>
      <c r="H38" t="str">
        <f>_xlfn.XLOOKUP(B38,Products!A:A,Products!B:B,"Not Found")</f>
        <v>Home</v>
      </c>
      <c r="I38">
        <f>_xlfn.XLOOKUP(A38,Orders!B:B,Orders!C:C,"Not Found")</f>
        <v>2</v>
      </c>
    </row>
    <row r="39" spans="1:9" x14ac:dyDescent="0.3">
      <c r="A39" s="1" t="s">
        <v>72</v>
      </c>
      <c r="B39" s="1" t="s">
        <v>73</v>
      </c>
      <c r="C39">
        <v>2</v>
      </c>
      <c r="D39">
        <v>58</v>
      </c>
      <c r="E39" t="b">
        <v>1</v>
      </c>
      <c r="F39" s="2">
        <v>45789</v>
      </c>
      <c r="G39" t="b">
        <v>0</v>
      </c>
      <c r="H39" t="str">
        <f>_xlfn.XLOOKUP(B39,Products!A:A,Products!B:B,"Not Found")</f>
        <v>Books</v>
      </c>
      <c r="I39">
        <f>_xlfn.XLOOKUP(A39,Orders!B:B,Orders!C:C,"Not Found")</f>
        <v>2</v>
      </c>
    </row>
    <row r="40" spans="1:9" x14ac:dyDescent="0.3">
      <c r="A40" s="1" t="s">
        <v>74</v>
      </c>
      <c r="B40" s="1" t="s">
        <v>42</v>
      </c>
      <c r="C40">
        <v>1</v>
      </c>
      <c r="D40">
        <v>151</v>
      </c>
      <c r="E40" t="b">
        <v>1</v>
      </c>
      <c r="F40" s="2">
        <v>45972</v>
      </c>
      <c r="G40" t="b">
        <v>1</v>
      </c>
      <c r="H40" t="str">
        <f>_xlfn.XLOOKUP(B40,Products!A:A,Products!B:B,"Not Found")</f>
        <v>Sports</v>
      </c>
      <c r="I40">
        <f>_xlfn.XLOOKUP(A40,Orders!B:B,Orders!C:C,"Not Found")</f>
        <v>6</v>
      </c>
    </row>
    <row r="41" spans="1:9" x14ac:dyDescent="0.3">
      <c r="A41" s="1" t="s">
        <v>75</v>
      </c>
      <c r="B41" s="1" t="s">
        <v>52</v>
      </c>
      <c r="C41">
        <v>1</v>
      </c>
      <c r="D41">
        <v>49</v>
      </c>
      <c r="E41" t="b">
        <v>1</v>
      </c>
      <c r="F41" s="2">
        <v>45897</v>
      </c>
      <c r="G41" t="b">
        <v>0</v>
      </c>
      <c r="H41" t="str">
        <f>_xlfn.XLOOKUP(B41,Products!A:A,Products!B:B,"Not Found")</f>
        <v>Sports</v>
      </c>
      <c r="I41">
        <f>_xlfn.XLOOKUP(A41,Orders!B:B,Orders!C:C,"Not Found")</f>
        <v>3</v>
      </c>
    </row>
    <row r="42" spans="1:9" x14ac:dyDescent="0.3">
      <c r="A42" s="1" t="s">
        <v>76</v>
      </c>
      <c r="B42" s="1" t="s">
        <v>35</v>
      </c>
      <c r="D42">
        <v>52</v>
      </c>
      <c r="E42" t="b">
        <v>1</v>
      </c>
      <c r="F42" s="2">
        <v>45953</v>
      </c>
      <c r="G42" t="b">
        <v>0</v>
      </c>
      <c r="H42" t="str">
        <f>_xlfn.XLOOKUP(B42,Products!A:A,Products!B:B,"Not Found")</f>
        <v>Sports</v>
      </c>
      <c r="I42">
        <f>_xlfn.XLOOKUP(A42,Orders!B:B,Orders!C:C,"Not Found")</f>
        <v>2</v>
      </c>
    </row>
    <row r="43" spans="1:9" x14ac:dyDescent="0.3">
      <c r="A43" s="1" t="s">
        <v>77</v>
      </c>
      <c r="B43" s="1" t="s">
        <v>78</v>
      </c>
      <c r="C43">
        <v>3</v>
      </c>
      <c r="D43">
        <v>37</v>
      </c>
      <c r="E43" t="b">
        <v>1</v>
      </c>
      <c r="F43" s="2">
        <v>45935</v>
      </c>
      <c r="G43" t="b">
        <v>0</v>
      </c>
      <c r="H43" t="str">
        <f>_xlfn.XLOOKUP(B43,Products!A:A,Products!B:B,"Not Found")</f>
        <v>Electronics</v>
      </c>
      <c r="I43">
        <f>_xlfn.XLOOKUP(A43,Orders!B:B,Orders!C:C,"Not Found")</f>
        <v>8</v>
      </c>
    </row>
    <row r="44" spans="1:9" x14ac:dyDescent="0.3">
      <c r="A44" s="1" t="s">
        <v>79</v>
      </c>
      <c r="B44" s="1" t="s">
        <v>80</v>
      </c>
      <c r="C44">
        <v>5</v>
      </c>
      <c r="D44">
        <v>93</v>
      </c>
      <c r="E44" t="b">
        <v>0</v>
      </c>
      <c r="F44" s="2">
        <v>45772</v>
      </c>
      <c r="G44" t="b">
        <v>0</v>
      </c>
      <c r="H44" t="str">
        <f>_xlfn.XLOOKUP(B44,Products!A:A,Products!B:B,"Not Found")</f>
        <v>Electronics</v>
      </c>
      <c r="I44">
        <f>_xlfn.XLOOKUP(A44,Orders!B:B,Orders!C:C,"Not Found")</f>
        <v>3</v>
      </c>
    </row>
    <row r="45" spans="1:9" x14ac:dyDescent="0.3">
      <c r="A45" s="1" t="s">
        <v>81</v>
      </c>
      <c r="B45" s="1" t="s">
        <v>82</v>
      </c>
      <c r="C45">
        <v>4</v>
      </c>
      <c r="D45">
        <v>36</v>
      </c>
      <c r="E45" t="b">
        <v>1</v>
      </c>
      <c r="F45" s="2">
        <v>45763</v>
      </c>
      <c r="G45" t="b">
        <v>0</v>
      </c>
      <c r="H45" t="str">
        <f>_xlfn.XLOOKUP(B45,Products!A:A,Products!B:B,"Not Found")</f>
        <v>Home</v>
      </c>
      <c r="I45">
        <f>_xlfn.XLOOKUP(A45,Orders!B:B,Orders!C:C,"Not Found")</f>
        <v>2</v>
      </c>
    </row>
    <row r="46" spans="1:9" x14ac:dyDescent="0.3">
      <c r="A46" s="1" t="s">
        <v>83</v>
      </c>
      <c r="B46" s="1" t="s">
        <v>84</v>
      </c>
      <c r="C46">
        <v>4</v>
      </c>
      <c r="D46">
        <v>120</v>
      </c>
      <c r="E46" t="b">
        <v>1</v>
      </c>
      <c r="F46" s="2">
        <v>45953</v>
      </c>
      <c r="G46" t="b">
        <v>0</v>
      </c>
      <c r="H46" t="str">
        <f>_xlfn.XLOOKUP(B46,Products!A:A,Products!B:B,"Not Found")</f>
        <v>Beauty</v>
      </c>
      <c r="I46">
        <f>_xlfn.XLOOKUP(A46,Orders!B:B,Orders!C:C,"Not Found")</f>
        <v>6</v>
      </c>
    </row>
    <row r="47" spans="1:9" x14ac:dyDescent="0.3">
      <c r="A47" s="1" t="s">
        <v>85</v>
      </c>
      <c r="B47" s="1" t="s">
        <v>60</v>
      </c>
      <c r="C47">
        <v>4</v>
      </c>
      <c r="D47">
        <v>68</v>
      </c>
      <c r="E47" t="b">
        <v>0</v>
      </c>
      <c r="F47" s="2">
        <v>45812</v>
      </c>
      <c r="G47" t="b">
        <v>0</v>
      </c>
      <c r="H47" t="str">
        <f>_xlfn.XLOOKUP(B47,Products!A:A,Products!B:B,"Not Found")</f>
        <v>Books</v>
      </c>
      <c r="I47">
        <f>_xlfn.XLOOKUP(A47,Orders!B:B,Orders!C:C,"Not Found")</f>
        <v>3</v>
      </c>
    </row>
    <row r="48" spans="1:9" x14ac:dyDescent="0.3">
      <c r="A48" s="1" t="s">
        <v>86</v>
      </c>
      <c r="B48" s="1" t="s">
        <v>87</v>
      </c>
      <c r="C48">
        <v>4</v>
      </c>
      <c r="D48">
        <v>19</v>
      </c>
      <c r="E48" t="b">
        <v>1</v>
      </c>
      <c r="F48" s="2">
        <v>45725</v>
      </c>
      <c r="G48" t="b">
        <v>0</v>
      </c>
      <c r="H48" t="str">
        <f>_xlfn.XLOOKUP(B48,Products!A:A,Products!B:B,"Not Found")</f>
        <v>Sports</v>
      </c>
      <c r="I48">
        <f>_xlfn.XLOOKUP(A48,Orders!B:B,Orders!C:C,"Not Found")</f>
        <v>3</v>
      </c>
    </row>
    <row r="49" spans="1:9" x14ac:dyDescent="0.3">
      <c r="A49" s="1" t="s">
        <v>88</v>
      </c>
      <c r="B49" s="1" t="s">
        <v>42</v>
      </c>
      <c r="C49">
        <v>4</v>
      </c>
      <c r="D49">
        <v>20</v>
      </c>
      <c r="E49" t="b">
        <v>0</v>
      </c>
      <c r="F49" s="2">
        <v>45904</v>
      </c>
      <c r="G49" t="b">
        <v>0</v>
      </c>
      <c r="H49" t="str">
        <f>_xlfn.XLOOKUP(B49,Products!A:A,Products!B:B,"Not Found")</f>
        <v>Sports</v>
      </c>
      <c r="I49">
        <f>_xlfn.XLOOKUP(A49,Orders!B:B,Orders!C:C,"Not Found")</f>
        <v>3</v>
      </c>
    </row>
    <row r="50" spans="1:9" x14ac:dyDescent="0.3">
      <c r="A50" s="1" t="s">
        <v>89</v>
      </c>
      <c r="B50" s="1" t="s">
        <v>90</v>
      </c>
      <c r="C50">
        <v>3</v>
      </c>
      <c r="D50">
        <v>30</v>
      </c>
      <c r="E50" t="b">
        <v>1</v>
      </c>
      <c r="F50" s="2">
        <v>45705</v>
      </c>
      <c r="G50" t="b">
        <v>0</v>
      </c>
      <c r="H50" t="str">
        <f>_xlfn.XLOOKUP(B50,Products!A:A,Products!B:B,"Not Found")</f>
        <v>Books</v>
      </c>
      <c r="I50">
        <f>_xlfn.XLOOKUP(A50,Orders!B:B,Orders!C:C,"Not Found")</f>
        <v>4</v>
      </c>
    </row>
    <row r="51" spans="1:9" x14ac:dyDescent="0.3">
      <c r="A51" s="1" t="s">
        <v>91</v>
      </c>
      <c r="B51" s="1" t="s">
        <v>39</v>
      </c>
      <c r="C51">
        <v>3</v>
      </c>
      <c r="D51">
        <v>16</v>
      </c>
      <c r="E51" t="b">
        <v>0</v>
      </c>
      <c r="F51" s="2">
        <v>45906</v>
      </c>
      <c r="G51" t="b">
        <v>0</v>
      </c>
      <c r="H51" t="str">
        <f>_xlfn.XLOOKUP(B51,Products!A:A,Products!B:B,"Not Found")</f>
        <v>Sports</v>
      </c>
      <c r="I51">
        <f>_xlfn.XLOOKUP(A51,Orders!B:B,Orders!C:C,"Not Found")</f>
        <v>4</v>
      </c>
    </row>
    <row r="52" spans="1:9" x14ac:dyDescent="0.3">
      <c r="A52" s="1" t="s">
        <v>92</v>
      </c>
      <c r="B52" s="1" t="s">
        <v>39</v>
      </c>
      <c r="C52">
        <v>3</v>
      </c>
      <c r="D52">
        <v>186</v>
      </c>
      <c r="E52" t="b">
        <v>0</v>
      </c>
      <c r="F52" s="2">
        <v>45931</v>
      </c>
      <c r="G52" t="b">
        <v>1</v>
      </c>
      <c r="H52" t="str">
        <f>_xlfn.XLOOKUP(B52,Products!A:A,Products!B:B,"Not Found")</f>
        <v>Sports</v>
      </c>
      <c r="I52">
        <f>_xlfn.XLOOKUP(A52,Orders!B:B,Orders!C:C,"Not Found")</f>
        <v>8</v>
      </c>
    </row>
    <row r="53" spans="1:9" x14ac:dyDescent="0.3">
      <c r="A53" s="1" t="s">
        <v>93</v>
      </c>
      <c r="B53" s="1" t="s">
        <v>94</v>
      </c>
      <c r="C53">
        <v>4</v>
      </c>
      <c r="D53">
        <v>65</v>
      </c>
      <c r="E53" t="b">
        <v>1</v>
      </c>
      <c r="F53" s="2">
        <v>45723</v>
      </c>
      <c r="G53" t="b">
        <v>0</v>
      </c>
      <c r="H53" t="str">
        <f>_xlfn.XLOOKUP(B53,Products!A:A,Products!B:B,"Not Found")</f>
        <v>Beauty</v>
      </c>
      <c r="I53">
        <f>_xlfn.XLOOKUP(A53,Orders!B:B,Orders!C:C,"Not Found")</f>
        <v>5</v>
      </c>
    </row>
    <row r="54" spans="1:9" x14ac:dyDescent="0.3">
      <c r="A54" s="1" t="s">
        <v>95</v>
      </c>
      <c r="B54" s="1" t="s">
        <v>96</v>
      </c>
      <c r="C54">
        <v>5</v>
      </c>
      <c r="D54">
        <v>69</v>
      </c>
      <c r="E54" t="b">
        <v>0</v>
      </c>
      <c r="F54" s="2">
        <v>45683</v>
      </c>
      <c r="G54" t="b">
        <v>0</v>
      </c>
      <c r="H54" t="str">
        <f>_xlfn.XLOOKUP(B54,Products!A:A,Products!B:B,"Not Found")</f>
        <v>Sports</v>
      </c>
      <c r="I54">
        <f>_xlfn.XLOOKUP(A54,Orders!B:B,Orders!C:C,"Not Found")</f>
        <v>4</v>
      </c>
    </row>
    <row r="55" spans="1:9" x14ac:dyDescent="0.3">
      <c r="A55" s="1" t="s">
        <v>97</v>
      </c>
      <c r="B55" s="1" t="s">
        <v>37</v>
      </c>
      <c r="C55">
        <v>5</v>
      </c>
      <c r="D55">
        <v>45</v>
      </c>
      <c r="E55" t="b">
        <v>1</v>
      </c>
      <c r="F55" s="2">
        <v>45846</v>
      </c>
      <c r="G55" t="b">
        <v>0</v>
      </c>
      <c r="H55" t="str">
        <f>_xlfn.XLOOKUP(B55,Products!A:A,Products!B:B,"Not Found")</f>
        <v>Home</v>
      </c>
      <c r="I55">
        <f>_xlfn.XLOOKUP(A55,Orders!B:B,Orders!C:C,"Not Found")</f>
        <v>5</v>
      </c>
    </row>
    <row r="56" spans="1:9" x14ac:dyDescent="0.3">
      <c r="A56" s="1" t="s">
        <v>98</v>
      </c>
      <c r="B56" s="1" t="s">
        <v>52</v>
      </c>
      <c r="D56">
        <v>91</v>
      </c>
      <c r="E56" t="b">
        <v>0</v>
      </c>
      <c r="F56" s="2">
        <v>45880</v>
      </c>
      <c r="G56" t="b">
        <v>0</v>
      </c>
      <c r="H56" t="str">
        <f>_xlfn.XLOOKUP(B56,Products!A:A,Products!B:B,"Not Found")</f>
        <v>Sports</v>
      </c>
      <c r="I56">
        <f>_xlfn.XLOOKUP(A56,Orders!B:B,Orders!C:C,"Not Found")</f>
        <v>7</v>
      </c>
    </row>
    <row r="57" spans="1:9" x14ac:dyDescent="0.3">
      <c r="A57" s="1" t="s">
        <v>99</v>
      </c>
      <c r="B57" s="1" t="s">
        <v>78</v>
      </c>
      <c r="C57">
        <v>1</v>
      </c>
      <c r="D57">
        <v>93</v>
      </c>
      <c r="E57" t="b">
        <v>0</v>
      </c>
      <c r="F57" s="2">
        <v>45786</v>
      </c>
      <c r="G57" t="b">
        <v>0</v>
      </c>
      <c r="H57" t="str">
        <f>_xlfn.XLOOKUP(B57,Products!A:A,Products!B:B,"Not Found")</f>
        <v>Electronics</v>
      </c>
      <c r="I57">
        <f>_xlfn.XLOOKUP(A57,Orders!B:B,Orders!C:C,"Not Found")</f>
        <v>2</v>
      </c>
    </row>
    <row r="58" spans="1:9" x14ac:dyDescent="0.3">
      <c r="A58" s="1" t="s">
        <v>100</v>
      </c>
      <c r="B58" s="1" t="s">
        <v>101</v>
      </c>
      <c r="C58">
        <v>1</v>
      </c>
      <c r="D58">
        <v>33</v>
      </c>
      <c r="E58" t="b">
        <v>1</v>
      </c>
      <c r="F58" s="2">
        <v>45789</v>
      </c>
      <c r="G58" t="b">
        <v>0</v>
      </c>
      <c r="H58" t="str">
        <f>_xlfn.XLOOKUP(B58,Products!A:A,Products!B:B,"Not Found")</f>
        <v>Beauty</v>
      </c>
      <c r="I58">
        <f>_xlfn.XLOOKUP(A58,Orders!B:B,Orders!C:C,"Not Found")</f>
        <v>5</v>
      </c>
    </row>
    <row r="59" spans="1:9" x14ac:dyDescent="0.3">
      <c r="A59" s="1" t="s">
        <v>102</v>
      </c>
      <c r="B59" s="1" t="s">
        <v>68</v>
      </c>
      <c r="C59">
        <v>4</v>
      </c>
      <c r="D59">
        <v>38</v>
      </c>
      <c r="E59" t="b">
        <v>1</v>
      </c>
      <c r="F59" s="2">
        <v>45906</v>
      </c>
      <c r="G59" t="b">
        <v>0</v>
      </c>
      <c r="H59" t="str">
        <f>_xlfn.XLOOKUP(B59,Products!A:A,Products!B:B,"Not Found")</f>
        <v>Sports</v>
      </c>
      <c r="I59">
        <f>_xlfn.XLOOKUP(A59,Orders!B:B,Orders!C:C,"Not Found")</f>
        <v>4</v>
      </c>
    </row>
    <row r="60" spans="1:9" x14ac:dyDescent="0.3">
      <c r="A60" s="1" t="s">
        <v>103</v>
      </c>
      <c r="B60" s="1" t="s">
        <v>104</v>
      </c>
      <c r="C60">
        <v>3</v>
      </c>
      <c r="D60">
        <v>43</v>
      </c>
      <c r="E60" t="b">
        <v>1</v>
      </c>
      <c r="F60" s="2">
        <v>45923</v>
      </c>
      <c r="G60" t="b">
        <v>0</v>
      </c>
      <c r="H60" t="str">
        <f>_xlfn.XLOOKUP(B60,Products!A:A,Products!B:B,"Not Found")</f>
        <v>Books</v>
      </c>
      <c r="I60">
        <f>_xlfn.XLOOKUP(A60,Orders!B:B,Orders!C:C,"Not Found")</f>
        <v>6</v>
      </c>
    </row>
    <row r="61" spans="1:9" x14ac:dyDescent="0.3">
      <c r="A61" s="1" t="s">
        <v>105</v>
      </c>
      <c r="B61" s="1" t="s">
        <v>106</v>
      </c>
      <c r="C61">
        <v>1</v>
      </c>
      <c r="D61">
        <v>11</v>
      </c>
      <c r="E61" t="b">
        <v>1</v>
      </c>
      <c r="F61" s="2">
        <v>45953</v>
      </c>
      <c r="G61" t="b">
        <v>0</v>
      </c>
      <c r="H61" t="str">
        <f>_xlfn.XLOOKUP(B61,Products!A:A,Products!B:B,"Not Found")</f>
        <v>Home</v>
      </c>
      <c r="I61">
        <f>_xlfn.XLOOKUP(A61,Orders!B:B,Orders!C:C,"Not Found")</f>
        <v>3</v>
      </c>
    </row>
    <row r="62" spans="1:9" x14ac:dyDescent="0.3">
      <c r="A62" s="1" t="s">
        <v>107</v>
      </c>
      <c r="B62" s="1" t="s">
        <v>84</v>
      </c>
      <c r="C62">
        <v>3</v>
      </c>
      <c r="D62">
        <v>58</v>
      </c>
      <c r="E62" t="b">
        <v>1</v>
      </c>
      <c r="F62" s="2">
        <v>45940</v>
      </c>
      <c r="G62" t="b">
        <v>0</v>
      </c>
      <c r="H62" t="str">
        <f>_xlfn.XLOOKUP(B62,Products!A:A,Products!B:B,"Not Found")</f>
        <v>Beauty</v>
      </c>
      <c r="I62">
        <f>_xlfn.XLOOKUP(A62,Orders!B:B,Orders!C:C,"Not Found")</f>
        <v>5</v>
      </c>
    </row>
    <row r="63" spans="1:9" x14ac:dyDescent="0.3">
      <c r="A63" s="1" t="s">
        <v>108</v>
      </c>
      <c r="B63" s="1" t="s">
        <v>25</v>
      </c>
      <c r="C63">
        <v>3</v>
      </c>
      <c r="D63">
        <v>25</v>
      </c>
      <c r="E63" t="b">
        <v>1</v>
      </c>
      <c r="F63" s="2">
        <v>45688</v>
      </c>
      <c r="G63" t="b">
        <v>0</v>
      </c>
      <c r="H63" t="str">
        <f>_xlfn.XLOOKUP(B63,Products!A:A,Products!B:B,"Not Found")</f>
        <v>Books</v>
      </c>
      <c r="I63">
        <f>_xlfn.XLOOKUP(A63,Orders!B:B,Orders!C:C,"Not Found")</f>
        <v>5</v>
      </c>
    </row>
    <row r="64" spans="1:9" x14ac:dyDescent="0.3">
      <c r="A64" s="1" t="s">
        <v>109</v>
      </c>
      <c r="B64" s="1" t="s">
        <v>39</v>
      </c>
      <c r="C64">
        <v>1</v>
      </c>
      <c r="D64">
        <v>25</v>
      </c>
      <c r="E64" t="b">
        <v>1</v>
      </c>
      <c r="F64" s="2">
        <v>45839</v>
      </c>
      <c r="G64" t="b">
        <v>0</v>
      </c>
      <c r="H64" t="str">
        <f>_xlfn.XLOOKUP(B64,Products!A:A,Products!B:B,"Not Found")</f>
        <v>Sports</v>
      </c>
      <c r="I64">
        <f>_xlfn.XLOOKUP(A64,Orders!B:B,Orders!C:C,"Not Found")</f>
        <v>2</v>
      </c>
    </row>
    <row r="65" spans="1:9" x14ac:dyDescent="0.3">
      <c r="A65" s="1" t="s">
        <v>110</v>
      </c>
      <c r="B65" s="1" t="s">
        <v>42</v>
      </c>
      <c r="C65">
        <v>2</v>
      </c>
      <c r="D65">
        <v>34</v>
      </c>
      <c r="E65" t="b">
        <v>1</v>
      </c>
      <c r="F65" s="2">
        <v>45958</v>
      </c>
      <c r="G65" t="b">
        <v>0</v>
      </c>
      <c r="H65" t="str">
        <f>_xlfn.XLOOKUP(B65,Products!A:A,Products!B:B,"Not Found")</f>
        <v>Sports</v>
      </c>
      <c r="I65">
        <f>_xlfn.XLOOKUP(A65,Orders!B:B,Orders!C:C,"Not Found")</f>
        <v>3</v>
      </c>
    </row>
    <row r="66" spans="1:9" x14ac:dyDescent="0.3">
      <c r="A66" s="1" t="s">
        <v>111</v>
      </c>
      <c r="B66" s="1" t="s">
        <v>56</v>
      </c>
      <c r="C66">
        <v>3</v>
      </c>
      <c r="D66">
        <v>196</v>
      </c>
      <c r="E66" t="b">
        <v>0</v>
      </c>
      <c r="F66" s="2">
        <v>45763</v>
      </c>
      <c r="G66" t="b">
        <v>1</v>
      </c>
      <c r="H66" t="str">
        <f>_xlfn.XLOOKUP(B66,Products!A:A,Products!B:B,"Not Found")</f>
        <v>Beauty</v>
      </c>
      <c r="I66">
        <f>_xlfn.XLOOKUP(A66,Orders!B:B,Orders!C:C,"Not Found")</f>
        <v>5</v>
      </c>
    </row>
    <row r="67" spans="1:9" x14ac:dyDescent="0.3">
      <c r="A67" s="1" t="s">
        <v>112</v>
      </c>
      <c r="B67" s="1" t="s">
        <v>56</v>
      </c>
      <c r="C67">
        <v>4</v>
      </c>
      <c r="D67">
        <v>22</v>
      </c>
      <c r="E67" t="b">
        <v>0</v>
      </c>
      <c r="F67" s="2">
        <v>45713</v>
      </c>
      <c r="G67" t="b">
        <v>0</v>
      </c>
      <c r="H67" t="str">
        <f>_xlfn.XLOOKUP(B67,Products!A:A,Products!B:B,"Not Found")</f>
        <v>Beauty</v>
      </c>
      <c r="I67">
        <f>_xlfn.XLOOKUP(A67,Orders!B:B,Orders!C:C,"Not Found")</f>
        <v>5</v>
      </c>
    </row>
    <row r="68" spans="1:9" x14ac:dyDescent="0.3">
      <c r="A68" s="1" t="s">
        <v>113</v>
      </c>
      <c r="B68" s="1" t="s">
        <v>114</v>
      </c>
      <c r="C68">
        <v>3</v>
      </c>
      <c r="D68">
        <v>104</v>
      </c>
      <c r="E68" t="b">
        <v>0</v>
      </c>
      <c r="F68" s="2">
        <v>45917</v>
      </c>
      <c r="G68" t="b">
        <v>0</v>
      </c>
      <c r="H68" t="str">
        <f>_xlfn.XLOOKUP(B68,Products!A:A,Products!B:B,"Not Found")</f>
        <v>Home</v>
      </c>
      <c r="I68">
        <f>_xlfn.XLOOKUP(A68,Orders!B:B,Orders!C:C,"Not Found")</f>
        <v>3</v>
      </c>
    </row>
    <row r="69" spans="1:9" x14ac:dyDescent="0.3">
      <c r="A69" s="1" t="s">
        <v>115</v>
      </c>
      <c r="B69" s="1" t="s">
        <v>56</v>
      </c>
      <c r="C69">
        <v>2</v>
      </c>
      <c r="D69">
        <v>34</v>
      </c>
      <c r="E69" t="b">
        <v>1</v>
      </c>
      <c r="F69" s="2">
        <v>45800</v>
      </c>
      <c r="G69" t="b">
        <v>0</v>
      </c>
      <c r="H69" t="str">
        <f>_xlfn.XLOOKUP(B69,Products!A:A,Products!B:B,"Not Found")</f>
        <v>Beauty</v>
      </c>
      <c r="I69">
        <f>_xlfn.XLOOKUP(A69,Orders!B:B,Orders!C:C,"Not Found")</f>
        <v>3</v>
      </c>
    </row>
    <row r="70" spans="1:9" x14ac:dyDescent="0.3">
      <c r="A70" s="1" t="s">
        <v>116</v>
      </c>
      <c r="B70" s="1" t="s">
        <v>78</v>
      </c>
      <c r="C70">
        <v>5</v>
      </c>
      <c r="D70">
        <v>143</v>
      </c>
      <c r="E70" t="b">
        <v>1</v>
      </c>
      <c r="F70" s="2">
        <v>45919</v>
      </c>
      <c r="G70" t="b">
        <v>1</v>
      </c>
      <c r="H70" t="str">
        <f>_xlfn.XLOOKUP(B70,Products!A:A,Products!B:B,"Not Found")</f>
        <v>Electronics</v>
      </c>
      <c r="I70">
        <f>_xlfn.XLOOKUP(A70,Orders!B:B,Orders!C:C,"Not Found")</f>
        <v>3</v>
      </c>
    </row>
    <row r="71" spans="1:9" x14ac:dyDescent="0.3">
      <c r="A71" s="1" t="s">
        <v>117</v>
      </c>
      <c r="B71" s="1" t="s">
        <v>101</v>
      </c>
      <c r="C71">
        <v>3</v>
      </c>
      <c r="D71">
        <v>69</v>
      </c>
      <c r="E71" t="b">
        <v>1</v>
      </c>
      <c r="F71" s="2">
        <v>46022</v>
      </c>
      <c r="G71" t="b">
        <v>0</v>
      </c>
      <c r="H71" t="str">
        <f>_xlfn.XLOOKUP(B71,Products!A:A,Products!B:B,"Not Found")</f>
        <v>Beauty</v>
      </c>
      <c r="I71">
        <f>_xlfn.XLOOKUP(A71,Orders!B:B,Orders!C:C,"Not Found")</f>
        <v>2</v>
      </c>
    </row>
    <row r="72" spans="1:9" x14ac:dyDescent="0.3">
      <c r="A72" s="1" t="s">
        <v>118</v>
      </c>
      <c r="B72" s="1" t="s">
        <v>119</v>
      </c>
      <c r="C72">
        <v>4</v>
      </c>
      <c r="D72">
        <v>74</v>
      </c>
      <c r="E72" t="b">
        <v>1</v>
      </c>
      <c r="F72" s="2">
        <v>45735</v>
      </c>
      <c r="G72" t="b">
        <v>0</v>
      </c>
      <c r="H72" t="str">
        <f>_xlfn.XLOOKUP(B72,Products!A:A,Products!B:B,"Not Found")</f>
        <v>Electronics</v>
      </c>
      <c r="I72">
        <f>_xlfn.XLOOKUP(A72,Orders!B:B,Orders!C:C,"Not Found")</f>
        <v>5</v>
      </c>
    </row>
    <row r="73" spans="1:9" x14ac:dyDescent="0.3">
      <c r="A73" s="1" t="s">
        <v>120</v>
      </c>
      <c r="B73" s="1" t="s">
        <v>31</v>
      </c>
      <c r="C73">
        <v>5</v>
      </c>
      <c r="D73">
        <v>47</v>
      </c>
      <c r="E73" t="b">
        <v>0</v>
      </c>
      <c r="F73" s="2">
        <v>45902</v>
      </c>
      <c r="G73" t="b">
        <v>0</v>
      </c>
      <c r="H73" t="str">
        <f>_xlfn.XLOOKUP(B73,Products!A:A,Products!B:B,"Not Found")</f>
        <v>Sports</v>
      </c>
      <c r="I73">
        <f>_xlfn.XLOOKUP(A73,Orders!B:B,Orders!C:C,"Not Found")</f>
        <v>3</v>
      </c>
    </row>
    <row r="74" spans="1:9" x14ac:dyDescent="0.3">
      <c r="A74" s="1" t="s">
        <v>121</v>
      </c>
      <c r="B74" s="1" t="s">
        <v>80</v>
      </c>
      <c r="C74">
        <v>2</v>
      </c>
      <c r="D74">
        <v>46</v>
      </c>
      <c r="E74" t="b">
        <v>1</v>
      </c>
      <c r="F74" s="2">
        <v>45914</v>
      </c>
      <c r="G74" t="b">
        <v>0</v>
      </c>
      <c r="H74" t="str">
        <f>_xlfn.XLOOKUP(B74,Products!A:A,Products!B:B,"Not Found")</f>
        <v>Electronics</v>
      </c>
      <c r="I74">
        <f>_xlfn.XLOOKUP(A74,Orders!B:B,Orders!C:C,"Not Found")</f>
        <v>3</v>
      </c>
    </row>
    <row r="75" spans="1:9" x14ac:dyDescent="0.3">
      <c r="A75" s="1" t="s">
        <v>122</v>
      </c>
      <c r="B75" s="1" t="s">
        <v>123</v>
      </c>
      <c r="C75">
        <v>3</v>
      </c>
      <c r="D75">
        <v>22</v>
      </c>
      <c r="E75" t="b">
        <v>0</v>
      </c>
      <c r="F75" s="2">
        <v>45718</v>
      </c>
      <c r="G75" t="b">
        <v>0</v>
      </c>
      <c r="H75" t="str">
        <f>_xlfn.XLOOKUP(B75,Products!A:A,Products!B:B,"Not Found")</f>
        <v>Books</v>
      </c>
      <c r="I75">
        <f>_xlfn.XLOOKUP(A75,Orders!B:B,Orders!C:C,"Not Found")</f>
        <v>3</v>
      </c>
    </row>
    <row r="76" spans="1:9" x14ac:dyDescent="0.3">
      <c r="A76" s="1" t="s">
        <v>124</v>
      </c>
      <c r="B76" s="1" t="s">
        <v>10</v>
      </c>
      <c r="C76">
        <v>5</v>
      </c>
      <c r="D76">
        <v>160</v>
      </c>
      <c r="E76" t="b">
        <v>0</v>
      </c>
      <c r="F76" s="2">
        <v>45800</v>
      </c>
      <c r="G76" t="b">
        <v>1</v>
      </c>
      <c r="H76" t="str">
        <f>_xlfn.XLOOKUP(B76,Products!A:A,Products!B:B,"Not Found")</f>
        <v>Home</v>
      </c>
      <c r="I76">
        <f>_xlfn.XLOOKUP(A76,Orders!B:B,Orders!C:C,"Not Found")</f>
        <v>2</v>
      </c>
    </row>
    <row r="77" spans="1:9" x14ac:dyDescent="0.3">
      <c r="A77" s="1" t="s">
        <v>125</v>
      </c>
      <c r="B77" s="1" t="s">
        <v>126</v>
      </c>
      <c r="C77">
        <v>5</v>
      </c>
      <c r="D77">
        <v>2400</v>
      </c>
      <c r="E77" t="b">
        <v>0</v>
      </c>
      <c r="F77" s="2">
        <v>45918</v>
      </c>
      <c r="G77" t="b">
        <v>1</v>
      </c>
      <c r="H77" t="str">
        <f>_xlfn.XLOOKUP(B77,Products!A:A,Products!B:B,"Not Found")</f>
        <v>Books</v>
      </c>
      <c r="I77">
        <f>_xlfn.XLOOKUP(A77,Orders!B:B,Orders!C:C,"Not Found")</f>
        <v>2</v>
      </c>
    </row>
    <row r="78" spans="1:9" x14ac:dyDescent="0.3">
      <c r="A78" s="1" t="s">
        <v>127</v>
      </c>
      <c r="B78" s="1" t="s">
        <v>128</v>
      </c>
      <c r="C78">
        <v>4</v>
      </c>
      <c r="D78">
        <v>76</v>
      </c>
      <c r="E78" t="b">
        <v>1</v>
      </c>
      <c r="F78" s="2">
        <v>45948</v>
      </c>
      <c r="G78" t="b">
        <v>0</v>
      </c>
      <c r="H78" t="str">
        <f>_xlfn.XLOOKUP(B78,Products!A:A,Products!B:B,"Not Found")</f>
        <v>Beauty</v>
      </c>
      <c r="I78">
        <f>_xlfn.XLOOKUP(A78,Orders!B:B,Orders!C:C,"Not Found")</f>
        <v>4</v>
      </c>
    </row>
    <row r="79" spans="1:9" x14ac:dyDescent="0.3">
      <c r="A79" s="1" t="s">
        <v>129</v>
      </c>
      <c r="B79" s="1" t="s">
        <v>68</v>
      </c>
      <c r="C79">
        <v>2</v>
      </c>
      <c r="D79">
        <v>79</v>
      </c>
      <c r="E79" t="b">
        <v>1</v>
      </c>
      <c r="F79" s="2">
        <v>45925</v>
      </c>
      <c r="G79" t="b">
        <v>0</v>
      </c>
      <c r="H79" t="str">
        <f>_xlfn.XLOOKUP(B79,Products!A:A,Products!B:B,"Not Found")</f>
        <v>Sports</v>
      </c>
      <c r="I79">
        <f>_xlfn.XLOOKUP(A79,Orders!B:B,Orders!C:C,"Not Found")</f>
        <v>7</v>
      </c>
    </row>
    <row r="80" spans="1:9" x14ac:dyDescent="0.3">
      <c r="A80" s="1" t="s">
        <v>130</v>
      </c>
      <c r="B80" s="1" t="s">
        <v>27</v>
      </c>
      <c r="C80">
        <v>5</v>
      </c>
      <c r="D80">
        <v>69</v>
      </c>
      <c r="E80" t="b">
        <v>1</v>
      </c>
      <c r="F80" s="2">
        <v>45667</v>
      </c>
      <c r="G80" t="b">
        <v>0</v>
      </c>
      <c r="H80" t="str">
        <f>_xlfn.XLOOKUP(B80,Products!A:A,Products!B:B,"Not Found")</f>
        <v>Beauty</v>
      </c>
      <c r="I80">
        <f>_xlfn.XLOOKUP(A80,Orders!B:B,Orders!C:C,"Not Found")</f>
        <v>2</v>
      </c>
    </row>
    <row r="81" spans="1:9" x14ac:dyDescent="0.3">
      <c r="A81" s="1" t="s">
        <v>131</v>
      </c>
      <c r="B81" s="1" t="s">
        <v>42</v>
      </c>
      <c r="C81">
        <v>4</v>
      </c>
      <c r="D81">
        <v>55</v>
      </c>
      <c r="E81" t="b">
        <v>0</v>
      </c>
      <c r="F81" s="2">
        <v>45705</v>
      </c>
      <c r="G81" t="b">
        <v>0</v>
      </c>
      <c r="H81" t="str">
        <f>_xlfn.XLOOKUP(B81,Products!A:A,Products!B:B,"Not Found")</f>
        <v>Sports</v>
      </c>
      <c r="I81">
        <f>_xlfn.XLOOKUP(A81,Orders!B:B,Orders!C:C,"Not Found")</f>
        <v>8</v>
      </c>
    </row>
    <row r="82" spans="1:9" x14ac:dyDescent="0.3">
      <c r="A82" s="1" t="s">
        <v>132</v>
      </c>
      <c r="B82" s="1" t="s">
        <v>106</v>
      </c>
      <c r="C82">
        <v>4</v>
      </c>
      <c r="D82">
        <v>94</v>
      </c>
      <c r="E82" t="b">
        <v>1</v>
      </c>
      <c r="F82" s="2">
        <v>45701</v>
      </c>
      <c r="G82" t="b">
        <v>0</v>
      </c>
      <c r="H82" t="str">
        <f>_xlfn.XLOOKUP(B82,Products!A:A,Products!B:B,"Not Found")</f>
        <v>Home</v>
      </c>
      <c r="I82">
        <f>_xlfn.XLOOKUP(A82,Orders!B:B,Orders!C:C,"Not Found")</f>
        <v>4</v>
      </c>
    </row>
    <row r="83" spans="1:9" x14ac:dyDescent="0.3">
      <c r="A83" s="1" t="s">
        <v>133</v>
      </c>
      <c r="B83" s="1" t="s">
        <v>106</v>
      </c>
      <c r="C83">
        <v>2</v>
      </c>
      <c r="D83">
        <v>40</v>
      </c>
      <c r="E83" t="b">
        <v>0</v>
      </c>
      <c r="F83" s="2">
        <v>45734</v>
      </c>
      <c r="G83" t="b">
        <v>0</v>
      </c>
      <c r="H83" t="str">
        <f>_xlfn.XLOOKUP(B83,Products!A:A,Products!B:B,"Not Found")</f>
        <v>Home</v>
      </c>
      <c r="I83">
        <f>_xlfn.XLOOKUP(A83,Orders!B:B,Orders!C:C,"Not Found")</f>
        <v>3</v>
      </c>
    </row>
    <row r="84" spans="1:9" x14ac:dyDescent="0.3">
      <c r="A84" s="1" t="s">
        <v>134</v>
      </c>
      <c r="B84" s="1" t="s">
        <v>94</v>
      </c>
      <c r="C84">
        <v>4</v>
      </c>
      <c r="D84">
        <v>40</v>
      </c>
      <c r="E84" t="b">
        <v>1</v>
      </c>
      <c r="F84" s="2">
        <v>45802</v>
      </c>
      <c r="G84" t="b">
        <v>0</v>
      </c>
      <c r="H84" t="str">
        <f>_xlfn.XLOOKUP(B84,Products!A:A,Products!B:B,"Not Found")</f>
        <v>Beauty</v>
      </c>
      <c r="I84">
        <f>_xlfn.XLOOKUP(A84,Orders!B:B,Orders!C:C,"Not Found")</f>
        <v>4</v>
      </c>
    </row>
    <row r="85" spans="1:9" x14ac:dyDescent="0.3">
      <c r="A85" s="1" t="s">
        <v>135</v>
      </c>
      <c r="B85" s="1" t="s">
        <v>68</v>
      </c>
      <c r="C85">
        <v>3</v>
      </c>
      <c r="D85">
        <v>34</v>
      </c>
      <c r="E85" t="b">
        <v>0</v>
      </c>
      <c r="F85" s="2">
        <v>45951</v>
      </c>
      <c r="G85" t="b">
        <v>0</v>
      </c>
      <c r="H85" t="str">
        <f>_xlfn.XLOOKUP(B85,Products!A:A,Products!B:B,"Not Found")</f>
        <v>Sports</v>
      </c>
      <c r="I85">
        <f>_xlfn.XLOOKUP(A85,Orders!B:B,Orders!C:C,"Not Found")</f>
        <v>3</v>
      </c>
    </row>
    <row r="86" spans="1:9" x14ac:dyDescent="0.3">
      <c r="A86" s="1" t="s">
        <v>136</v>
      </c>
      <c r="B86" s="1" t="s">
        <v>84</v>
      </c>
      <c r="C86">
        <v>3</v>
      </c>
      <c r="D86">
        <v>12</v>
      </c>
      <c r="E86" t="b">
        <v>1</v>
      </c>
      <c r="F86" s="2">
        <v>45737</v>
      </c>
      <c r="G86" t="b">
        <v>0</v>
      </c>
      <c r="H86" t="str">
        <f>_xlfn.XLOOKUP(B86,Products!A:A,Products!B:B,"Not Found")</f>
        <v>Beauty</v>
      </c>
      <c r="I86">
        <f>_xlfn.XLOOKUP(A86,Orders!B:B,Orders!C:C,"Not Found")</f>
        <v>1</v>
      </c>
    </row>
    <row r="87" spans="1:9" x14ac:dyDescent="0.3">
      <c r="A87" s="1" t="s">
        <v>137</v>
      </c>
      <c r="B87" s="1" t="s">
        <v>84</v>
      </c>
      <c r="C87">
        <v>5</v>
      </c>
      <c r="D87">
        <v>77</v>
      </c>
      <c r="E87" t="b">
        <v>0</v>
      </c>
      <c r="F87" s="2">
        <v>45988</v>
      </c>
      <c r="G87" t="b">
        <v>0</v>
      </c>
      <c r="H87" t="str">
        <f>_xlfn.XLOOKUP(B87,Products!A:A,Products!B:B,"Not Found")</f>
        <v>Beauty</v>
      </c>
      <c r="I87">
        <f>_xlfn.XLOOKUP(A87,Orders!B:B,Orders!C:C,"Not Found")</f>
        <v>6</v>
      </c>
    </row>
    <row r="88" spans="1:9" x14ac:dyDescent="0.3">
      <c r="A88" s="1" t="s">
        <v>138</v>
      </c>
      <c r="B88" s="1" t="s">
        <v>10</v>
      </c>
      <c r="C88">
        <v>4</v>
      </c>
      <c r="D88">
        <v>12</v>
      </c>
      <c r="E88" t="b">
        <v>0</v>
      </c>
      <c r="F88" s="2">
        <v>45668</v>
      </c>
      <c r="G88" t="b">
        <v>0</v>
      </c>
      <c r="H88" t="str">
        <f>_xlfn.XLOOKUP(B88,Products!A:A,Products!B:B,"Not Found")</f>
        <v>Home</v>
      </c>
      <c r="I88">
        <f>_xlfn.XLOOKUP(A88,Orders!B:B,Orders!C:C,"Not Found")</f>
        <v>4</v>
      </c>
    </row>
    <row r="89" spans="1:9" x14ac:dyDescent="0.3">
      <c r="A89" s="1" t="s">
        <v>139</v>
      </c>
      <c r="B89" s="1" t="s">
        <v>119</v>
      </c>
      <c r="C89">
        <v>2</v>
      </c>
      <c r="D89">
        <v>193</v>
      </c>
      <c r="E89" t="b">
        <v>1</v>
      </c>
      <c r="F89" s="2">
        <v>45888</v>
      </c>
      <c r="G89" t="b">
        <v>1</v>
      </c>
      <c r="H89" t="str">
        <f>_xlfn.XLOOKUP(B89,Products!A:A,Products!B:B,"Not Found")</f>
        <v>Electronics</v>
      </c>
      <c r="I89">
        <f>_xlfn.XLOOKUP(A89,Orders!B:B,Orders!C:C,"Not Found")</f>
        <v>4</v>
      </c>
    </row>
    <row r="90" spans="1:9" x14ac:dyDescent="0.3">
      <c r="A90" s="1" t="s">
        <v>140</v>
      </c>
      <c r="B90" s="1" t="s">
        <v>52</v>
      </c>
      <c r="C90">
        <v>3</v>
      </c>
      <c r="D90">
        <v>46</v>
      </c>
      <c r="E90" t="b">
        <v>1</v>
      </c>
      <c r="F90" s="2">
        <v>45904</v>
      </c>
      <c r="G90" t="b">
        <v>0</v>
      </c>
      <c r="H90" t="str">
        <f>_xlfn.XLOOKUP(B90,Products!A:A,Products!B:B,"Not Found")</f>
        <v>Sports</v>
      </c>
      <c r="I90">
        <f>_xlfn.XLOOKUP(A90,Orders!B:B,Orders!C:C,"Not Found")</f>
        <v>3</v>
      </c>
    </row>
    <row r="91" spans="1:9" x14ac:dyDescent="0.3">
      <c r="A91" s="1" t="s">
        <v>141</v>
      </c>
      <c r="B91" s="1" t="s">
        <v>27</v>
      </c>
      <c r="C91">
        <v>5</v>
      </c>
      <c r="D91">
        <v>95</v>
      </c>
      <c r="E91" t="b">
        <v>1</v>
      </c>
      <c r="F91" s="2">
        <v>45824</v>
      </c>
      <c r="G91" t="b">
        <v>0</v>
      </c>
      <c r="H91" t="str">
        <f>_xlfn.XLOOKUP(B91,Products!A:A,Products!B:B,"Not Found")</f>
        <v>Beauty</v>
      </c>
      <c r="I91">
        <f>_xlfn.XLOOKUP(A91,Orders!B:B,Orders!C:C,"Not Found")</f>
        <v>3</v>
      </c>
    </row>
    <row r="92" spans="1:9" x14ac:dyDescent="0.3">
      <c r="A92" s="1" t="s">
        <v>142</v>
      </c>
      <c r="B92" s="1" t="s">
        <v>143</v>
      </c>
      <c r="C92">
        <v>3</v>
      </c>
      <c r="D92">
        <v>128</v>
      </c>
      <c r="E92" t="b">
        <v>1</v>
      </c>
      <c r="F92" s="2">
        <v>45761</v>
      </c>
      <c r="G92" t="b">
        <v>1</v>
      </c>
      <c r="H92" t="str">
        <f>_xlfn.XLOOKUP(B92,Products!A:A,Products!B:B,"Not Found")</f>
        <v>Books</v>
      </c>
      <c r="I92">
        <f>_xlfn.XLOOKUP(A92,Orders!B:B,Orders!C:C,"Not Found")</f>
        <v>3</v>
      </c>
    </row>
    <row r="93" spans="1:9" x14ac:dyDescent="0.3">
      <c r="A93" s="1" t="s">
        <v>144</v>
      </c>
      <c r="B93" s="1" t="s">
        <v>84</v>
      </c>
      <c r="C93">
        <v>4</v>
      </c>
      <c r="D93">
        <v>55</v>
      </c>
      <c r="E93" t="b">
        <v>1</v>
      </c>
      <c r="F93" s="2">
        <v>45996</v>
      </c>
      <c r="G93" t="b">
        <v>0</v>
      </c>
      <c r="H93" t="str">
        <f>_xlfn.XLOOKUP(B93,Products!A:A,Products!B:B,"Not Found")</f>
        <v>Beauty</v>
      </c>
      <c r="I93">
        <f>_xlfn.XLOOKUP(A93,Orders!B:B,Orders!C:C,"Not Found")</f>
        <v>5</v>
      </c>
    </row>
    <row r="94" spans="1:9" x14ac:dyDescent="0.3">
      <c r="A94" s="1" t="s">
        <v>145</v>
      </c>
      <c r="B94" s="1" t="s">
        <v>71</v>
      </c>
      <c r="C94">
        <v>4</v>
      </c>
      <c r="D94">
        <v>33</v>
      </c>
      <c r="E94" t="b">
        <v>0</v>
      </c>
      <c r="F94" s="2">
        <v>45779</v>
      </c>
      <c r="G94" t="b">
        <v>0</v>
      </c>
      <c r="H94" t="str">
        <f>_xlfn.XLOOKUP(B94,Products!A:A,Products!B:B,"Not Found")</f>
        <v>Home</v>
      </c>
      <c r="I94">
        <f>_xlfn.XLOOKUP(A94,Orders!B:B,Orders!C:C,"Not Found")</f>
        <v>5</v>
      </c>
    </row>
    <row r="95" spans="1:9" x14ac:dyDescent="0.3">
      <c r="A95" s="1" t="s">
        <v>146</v>
      </c>
      <c r="B95" s="1" t="s">
        <v>123</v>
      </c>
      <c r="C95">
        <v>2</v>
      </c>
      <c r="D95">
        <v>53</v>
      </c>
      <c r="E95" t="b">
        <v>1</v>
      </c>
      <c r="F95" s="2">
        <v>45700</v>
      </c>
      <c r="G95" t="b">
        <v>0</v>
      </c>
      <c r="H95" t="str">
        <f>_xlfn.XLOOKUP(B95,Products!A:A,Products!B:B,"Not Found")</f>
        <v>Books</v>
      </c>
      <c r="I95">
        <f>_xlfn.XLOOKUP(A95,Orders!B:B,Orders!C:C,"Not Found")</f>
        <v>9</v>
      </c>
    </row>
    <row r="96" spans="1:9" x14ac:dyDescent="0.3">
      <c r="A96" s="1" t="s">
        <v>147</v>
      </c>
      <c r="B96" s="1" t="s">
        <v>25</v>
      </c>
      <c r="C96">
        <v>5</v>
      </c>
      <c r="D96">
        <v>10</v>
      </c>
      <c r="E96" t="b">
        <v>1</v>
      </c>
      <c r="F96" s="2">
        <v>45886</v>
      </c>
      <c r="G96" t="b">
        <v>0</v>
      </c>
      <c r="H96" t="str">
        <f>_xlfn.XLOOKUP(B96,Products!A:A,Products!B:B,"Not Found")</f>
        <v>Books</v>
      </c>
      <c r="I96">
        <f>_xlfn.XLOOKUP(A96,Orders!B:B,Orders!C:C,"Not Found")</f>
        <v>1</v>
      </c>
    </row>
    <row r="97" spans="1:9" x14ac:dyDescent="0.3">
      <c r="A97" s="1" t="s">
        <v>148</v>
      </c>
      <c r="B97" s="1" t="s">
        <v>10</v>
      </c>
      <c r="C97">
        <v>2</v>
      </c>
      <c r="D97">
        <v>3200</v>
      </c>
      <c r="E97" t="b">
        <v>0</v>
      </c>
      <c r="F97" s="2">
        <v>45944</v>
      </c>
      <c r="G97" t="b">
        <v>1</v>
      </c>
      <c r="H97" t="str">
        <f>_xlfn.XLOOKUP(B97,Products!A:A,Products!B:B,"Not Found")</f>
        <v>Home</v>
      </c>
      <c r="I97">
        <f>_xlfn.XLOOKUP(A97,Orders!B:B,Orders!C:C,"Not Found")</f>
        <v>7</v>
      </c>
    </row>
    <row r="98" spans="1:9" x14ac:dyDescent="0.3">
      <c r="A98" s="1" t="s">
        <v>149</v>
      </c>
      <c r="B98" s="1" t="s">
        <v>96</v>
      </c>
      <c r="C98">
        <v>3</v>
      </c>
      <c r="D98">
        <v>21</v>
      </c>
      <c r="E98" t="b">
        <v>1</v>
      </c>
      <c r="F98" s="2">
        <v>45704</v>
      </c>
      <c r="G98" t="b">
        <v>0</v>
      </c>
      <c r="H98" t="str">
        <f>_xlfn.XLOOKUP(B98,Products!A:A,Products!B:B,"Not Found")</f>
        <v>Sports</v>
      </c>
      <c r="I98">
        <f>_xlfn.XLOOKUP(A98,Orders!B:B,Orders!C:C,"Not Found")</f>
        <v>4</v>
      </c>
    </row>
    <row r="99" spans="1:9" x14ac:dyDescent="0.3">
      <c r="A99" s="1" t="s">
        <v>150</v>
      </c>
      <c r="B99" s="1" t="s">
        <v>151</v>
      </c>
      <c r="C99">
        <v>4</v>
      </c>
      <c r="D99">
        <v>73</v>
      </c>
      <c r="E99" t="b">
        <v>0</v>
      </c>
      <c r="F99" s="2">
        <v>45667</v>
      </c>
      <c r="G99" t="b">
        <v>0</v>
      </c>
      <c r="H99" t="str">
        <f>_xlfn.XLOOKUP(B99,Products!A:A,Products!B:B,"Not Found")</f>
        <v>Beauty</v>
      </c>
      <c r="I99">
        <f>_xlfn.XLOOKUP(A99,Orders!B:B,Orders!C:C,"Not Found")</f>
        <v>9</v>
      </c>
    </row>
    <row r="100" spans="1:9" x14ac:dyDescent="0.3">
      <c r="A100" s="1" t="s">
        <v>152</v>
      </c>
      <c r="B100" s="1" t="s">
        <v>58</v>
      </c>
      <c r="C100">
        <v>3</v>
      </c>
      <c r="D100">
        <v>64</v>
      </c>
      <c r="E100" t="b">
        <v>1</v>
      </c>
      <c r="F100" s="2">
        <v>45871</v>
      </c>
      <c r="G100" t="b">
        <v>0</v>
      </c>
      <c r="H100" t="str">
        <f>_xlfn.XLOOKUP(B100,Products!A:A,Products!B:B,"Not Found")</f>
        <v>Electronics</v>
      </c>
      <c r="I100">
        <f>_xlfn.XLOOKUP(A100,Orders!B:B,Orders!C:C,"Not Found")</f>
        <v>4</v>
      </c>
    </row>
    <row r="101" spans="1:9" x14ac:dyDescent="0.3">
      <c r="A101" s="1" t="s">
        <v>153</v>
      </c>
      <c r="B101" s="1" t="s">
        <v>47</v>
      </c>
      <c r="D101">
        <v>17</v>
      </c>
      <c r="E101" t="b">
        <v>0</v>
      </c>
      <c r="F101" s="2">
        <v>45796</v>
      </c>
      <c r="G101" t="b">
        <v>0</v>
      </c>
      <c r="H101" t="str">
        <f>_xlfn.XLOOKUP(B101,Products!A:A,Products!B:B,"Not Found")</f>
        <v>Home</v>
      </c>
      <c r="I101">
        <f>_xlfn.XLOOKUP(A101,Orders!B:B,Orders!C:C,"Not Found")</f>
        <v>3</v>
      </c>
    </row>
    <row r="102" spans="1:9" x14ac:dyDescent="0.3">
      <c r="A102" s="1" t="s">
        <v>154</v>
      </c>
      <c r="B102" s="1" t="s">
        <v>80</v>
      </c>
      <c r="C102">
        <v>1</v>
      </c>
      <c r="D102">
        <v>47</v>
      </c>
      <c r="E102" t="b">
        <v>0</v>
      </c>
      <c r="F102" s="2">
        <v>45859</v>
      </c>
      <c r="G102" t="b">
        <v>0</v>
      </c>
      <c r="H102" t="str">
        <f>_xlfn.XLOOKUP(B102,Products!A:A,Products!B:B,"Not Found")</f>
        <v>Electronics</v>
      </c>
      <c r="I102">
        <f>_xlfn.XLOOKUP(A102,Orders!B:B,Orders!C:C,"Not Found")</f>
        <v>5</v>
      </c>
    </row>
    <row r="103" spans="1:9" x14ac:dyDescent="0.3">
      <c r="A103" s="1" t="s">
        <v>155</v>
      </c>
      <c r="B103" s="1" t="s">
        <v>31</v>
      </c>
      <c r="C103">
        <v>2</v>
      </c>
      <c r="D103">
        <v>18</v>
      </c>
      <c r="E103" t="b">
        <v>1</v>
      </c>
      <c r="F103" s="2">
        <v>45674</v>
      </c>
      <c r="G103" t="b">
        <v>0</v>
      </c>
      <c r="H103" t="str">
        <f>_xlfn.XLOOKUP(B103,Products!A:A,Products!B:B,"Not Found")</f>
        <v>Sports</v>
      </c>
      <c r="I103">
        <f>_xlfn.XLOOKUP(A103,Orders!B:B,Orders!C:C,"Not Found")</f>
        <v>2</v>
      </c>
    </row>
    <row r="104" spans="1:9" x14ac:dyDescent="0.3">
      <c r="A104" s="1" t="s">
        <v>156</v>
      </c>
      <c r="B104" s="1" t="s">
        <v>52</v>
      </c>
      <c r="C104">
        <v>3</v>
      </c>
      <c r="D104">
        <v>34</v>
      </c>
      <c r="E104" t="b">
        <v>0</v>
      </c>
      <c r="F104" s="2">
        <v>46013</v>
      </c>
      <c r="G104" t="b">
        <v>0</v>
      </c>
      <c r="H104" t="str">
        <f>_xlfn.XLOOKUP(B104,Products!A:A,Products!B:B,"Not Found")</f>
        <v>Sports</v>
      </c>
      <c r="I104">
        <f>_xlfn.XLOOKUP(A104,Orders!B:B,Orders!C:C,"Not Found")</f>
        <v>4</v>
      </c>
    </row>
    <row r="105" spans="1:9" x14ac:dyDescent="0.3">
      <c r="A105" s="1" t="s">
        <v>157</v>
      </c>
      <c r="B105" s="1" t="s">
        <v>158</v>
      </c>
      <c r="C105">
        <v>2</v>
      </c>
      <c r="D105">
        <v>8</v>
      </c>
      <c r="E105" t="b">
        <v>0</v>
      </c>
      <c r="F105" s="2">
        <v>45807</v>
      </c>
      <c r="G105" t="b">
        <v>0</v>
      </c>
      <c r="H105" t="str">
        <f>_xlfn.XLOOKUP(B105,Products!A:A,Products!B:B,"Not Found")</f>
        <v>Electronics</v>
      </c>
      <c r="I105">
        <f>_xlfn.XLOOKUP(A105,Orders!B:B,Orders!C:C,"Not Found")</f>
        <v>3</v>
      </c>
    </row>
    <row r="106" spans="1:9" x14ac:dyDescent="0.3">
      <c r="A106" s="1" t="s">
        <v>159</v>
      </c>
      <c r="B106" s="1" t="s">
        <v>101</v>
      </c>
      <c r="C106">
        <v>3</v>
      </c>
      <c r="D106">
        <v>23</v>
      </c>
      <c r="E106" t="b">
        <v>1</v>
      </c>
      <c r="F106" s="2">
        <v>45852</v>
      </c>
      <c r="G106" t="b">
        <v>0</v>
      </c>
      <c r="H106" t="str">
        <f>_xlfn.XLOOKUP(B106,Products!A:A,Products!B:B,"Not Found")</f>
        <v>Beauty</v>
      </c>
      <c r="I106">
        <f>_xlfn.XLOOKUP(A106,Orders!B:B,Orders!C:C,"Not Found")</f>
        <v>6</v>
      </c>
    </row>
    <row r="107" spans="1:9" x14ac:dyDescent="0.3">
      <c r="A107" s="1" t="s">
        <v>160</v>
      </c>
      <c r="B107" s="1" t="s">
        <v>78</v>
      </c>
      <c r="C107">
        <v>5</v>
      </c>
      <c r="D107">
        <v>112</v>
      </c>
      <c r="E107" t="b">
        <v>0</v>
      </c>
      <c r="F107" s="2">
        <v>45786</v>
      </c>
      <c r="G107" t="b">
        <v>0</v>
      </c>
      <c r="H107" t="str">
        <f>_xlfn.XLOOKUP(B107,Products!A:A,Products!B:B,"Not Found")</f>
        <v>Electronics</v>
      </c>
      <c r="I107">
        <f>_xlfn.XLOOKUP(A107,Orders!B:B,Orders!C:C,"Not Found")</f>
        <v>3</v>
      </c>
    </row>
    <row r="108" spans="1:9" x14ac:dyDescent="0.3">
      <c r="A108" s="1" t="s">
        <v>161</v>
      </c>
      <c r="B108" s="1" t="s">
        <v>63</v>
      </c>
      <c r="D108">
        <v>26</v>
      </c>
      <c r="E108" t="b">
        <v>1</v>
      </c>
      <c r="F108" s="2">
        <v>45910</v>
      </c>
      <c r="G108" t="b">
        <v>0</v>
      </c>
      <c r="H108" t="str">
        <f>_xlfn.XLOOKUP(B108,Products!A:A,Products!B:B,"Not Found")</f>
        <v>Sports</v>
      </c>
      <c r="I108">
        <f>_xlfn.XLOOKUP(A108,Orders!B:B,Orders!C:C,"Not Found")</f>
        <v>5</v>
      </c>
    </row>
    <row r="109" spans="1:9" x14ac:dyDescent="0.3">
      <c r="A109" s="1" t="s">
        <v>162</v>
      </c>
      <c r="B109" s="1" t="s">
        <v>49</v>
      </c>
      <c r="C109">
        <v>1</v>
      </c>
      <c r="D109">
        <v>66</v>
      </c>
      <c r="E109" t="b">
        <v>0</v>
      </c>
      <c r="F109" s="2">
        <v>45753</v>
      </c>
      <c r="G109" t="b">
        <v>0</v>
      </c>
      <c r="H109" t="str">
        <f>_xlfn.XLOOKUP(B109,Products!A:A,Products!B:B,"Not Found")</f>
        <v>Sports</v>
      </c>
      <c r="I109">
        <f>_xlfn.XLOOKUP(A109,Orders!B:B,Orders!C:C,"Not Found")</f>
        <v>4</v>
      </c>
    </row>
    <row r="110" spans="1:9" x14ac:dyDescent="0.3">
      <c r="A110" s="1" t="s">
        <v>163</v>
      </c>
      <c r="B110" s="1" t="s">
        <v>49</v>
      </c>
      <c r="C110">
        <v>4</v>
      </c>
      <c r="D110">
        <v>44</v>
      </c>
      <c r="E110" t="b">
        <v>1</v>
      </c>
      <c r="F110" s="2">
        <v>45819</v>
      </c>
      <c r="G110" t="b">
        <v>0</v>
      </c>
      <c r="H110" t="str">
        <f>_xlfn.XLOOKUP(B110,Products!A:A,Products!B:B,"Not Found")</f>
        <v>Sports</v>
      </c>
      <c r="I110">
        <f>_xlfn.XLOOKUP(A110,Orders!B:B,Orders!C:C,"Not Found")</f>
        <v>6</v>
      </c>
    </row>
    <row r="111" spans="1:9" x14ac:dyDescent="0.3">
      <c r="A111" s="1" t="s">
        <v>164</v>
      </c>
      <c r="B111" s="1" t="s">
        <v>16</v>
      </c>
      <c r="C111">
        <v>4</v>
      </c>
      <c r="D111">
        <v>29</v>
      </c>
      <c r="E111" t="b">
        <v>0</v>
      </c>
      <c r="F111" s="2">
        <v>45834</v>
      </c>
      <c r="G111" t="b">
        <v>0</v>
      </c>
      <c r="H111" t="str">
        <f>_xlfn.XLOOKUP(B111,Products!A:A,Products!B:B,"Not Found")</f>
        <v>Electronics</v>
      </c>
      <c r="I111">
        <f>_xlfn.XLOOKUP(A111,Orders!B:B,Orders!C:C,"Not Found")</f>
        <v>5</v>
      </c>
    </row>
    <row r="112" spans="1:9" x14ac:dyDescent="0.3">
      <c r="A112" s="1" t="s">
        <v>165</v>
      </c>
      <c r="B112" s="1" t="s">
        <v>8</v>
      </c>
      <c r="C112">
        <v>3</v>
      </c>
      <c r="D112">
        <v>25</v>
      </c>
      <c r="E112" t="b">
        <v>0</v>
      </c>
      <c r="F112" s="2">
        <v>45913</v>
      </c>
      <c r="G112" t="b">
        <v>0</v>
      </c>
      <c r="H112" t="str">
        <f>_xlfn.XLOOKUP(B112,Products!A:A,Products!B:B,"Not Found")</f>
        <v>Beauty</v>
      </c>
      <c r="I112">
        <f>_xlfn.XLOOKUP(A112,Orders!B:B,Orders!C:C,"Not Found")</f>
        <v>5</v>
      </c>
    </row>
    <row r="113" spans="1:9" x14ac:dyDescent="0.3">
      <c r="A113" s="1" t="s">
        <v>166</v>
      </c>
      <c r="B113" s="1" t="s">
        <v>33</v>
      </c>
      <c r="C113">
        <v>3</v>
      </c>
      <c r="D113">
        <v>14</v>
      </c>
      <c r="E113" t="b">
        <v>0</v>
      </c>
      <c r="F113" s="2">
        <v>45925</v>
      </c>
      <c r="G113" t="b">
        <v>0</v>
      </c>
      <c r="H113" t="str">
        <f>_xlfn.XLOOKUP(B113,Products!A:A,Products!B:B,"Not Found")</f>
        <v>Books</v>
      </c>
      <c r="I113">
        <f>_xlfn.XLOOKUP(A113,Orders!B:B,Orders!C:C,"Not Found")</f>
        <v>4</v>
      </c>
    </row>
    <row r="114" spans="1:9" x14ac:dyDescent="0.3">
      <c r="A114" s="1" t="s">
        <v>167</v>
      </c>
      <c r="B114" s="1" t="s">
        <v>168</v>
      </c>
      <c r="C114">
        <v>1</v>
      </c>
      <c r="D114">
        <v>122</v>
      </c>
      <c r="E114" t="b">
        <v>0</v>
      </c>
      <c r="F114" s="2">
        <v>46001</v>
      </c>
      <c r="G114" t="b">
        <v>1</v>
      </c>
      <c r="H114" t="str">
        <f>_xlfn.XLOOKUP(B114,Products!A:A,Products!B:B,"Not Found")</f>
        <v>Beauty</v>
      </c>
      <c r="I114">
        <f>_xlfn.XLOOKUP(A114,Orders!B:B,Orders!C:C,"Not Found")</f>
        <v>4</v>
      </c>
    </row>
    <row r="115" spans="1:9" x14ac:dyDescent="0.3">
      <c r="A115" s="1" t="s">
        <v>169</v>
      </c>
      <c r="B115" s="1" t="s">
        <v>80</v>
      </c>
      <c r="C115">
        <v>4</v>
      </c>
      <c r="D115">
        <v>64</v>
      </c>
      <c r="E115" t="b">
        <v>0</v>
      </c>
      <c r="F115" s="2">
        <v>45956</v>
      </c>
      <c r="G115" t="b">
        <v>0</v>
      </c>
      <c r="H115" t="str">
        <f>_xlfn.XLOOKUP(B115,Products!A:A,Products!B:B,"Not Found")</f>
        <v>Electronics</v>
      </c>
      <c r="I115">
        <f>_xlfn.XLOOKUP(A115,Orders!B:B,Orders!C:C,"Not Found")</f>
        <v>2</v>
      </c>
    </row>
    <row r="116" spans="1:9" x14ac:dyDescent="0.3">
      <c r="A116" s="1" t="s">
        <v>170</v>
      </c>
      <c r="B116" s="1" t="s">
        <v>37</v>
      </c>
      <c r="C116">
        <v>5</v>
      </c>
      <c r="D116">
        <v>23</v>
      </c>
      <c r="E116" t="b">
        <v>1</v>
      </c>
      <c r="F116" s="2">
        <v>45976</v>
      </c>
      <c r="G116" t="b">
        <v>0</v>
      </c>
      <c r="H116" t="str">
        <f>_xlfn.XLOOKUP(B116,Products!A:A,Products!B:B,"Not Found")</f>
        <v>Home</v>
      </c>
      <c r="I116">
        <f>_xlfn.XLOOKUP(A116,Orders!B:B,Orders!C:C,"Not Found")</f>
        <v>7</v>
      </c>
    </row>
    <row r="117" spans="1:9" x14ac:dyDescent="0.3">
      <c r="A117" s="1" t="s">
        <v>171</v>
      </c>
      <c r="B117" s="1" t="s">
        <v>172</v>
      </c>
      <c r="C117">
        <v>1</v>
      </c>
      <c r="D117">
        <v>16</v>
      </c>
      <c r="E117" t="b">
        <v>0</v>
      </c>
      <c r="F117" s="2">
        <v>45701</v>
      </c>
      <c r="G117" t="b">
        <v>0</v>
      </c>
      <c r="H117" t="str">
        <f>_xlfn.XLOOKUP(B117,Products!A:A,Products!B:B,"Not Found")</f>
        <v>Beauty</v>
      </c>
      <c r="I117">
        <f>_xlfn.XLOOKUP(A117,Orders!B:B,Orders!C:C,"Not Found")</f>
        <v>3</v>
      </c>
    </row>
    <row r="118" spans="1:9" x14ac:dyDescent="0.3">
      <c r="A118" s="1" t="s">
        <v>173</v>
      </c>
      <c r="B118" s="1" t="s">
        <v>71</v>
      </c>
      <c r="C118">
        <v>2</v>
      </c>
      <c r="D118">
        <v>3200</v>
      </c>
      <c r="E118" t="b">
        <v>1</v>
      </c>
      <c r="F118" s="2">
        <v>45898</v>
      </c>
      <c r="G118" t="b">
        <v>1</v>
      </c>
      <c r="H118" t="str">
        <f>_xlfn.XLOOKUP(B118,Products!A:A,Products!B:B,"Not Found")</f>
        <v>Home</v>
      </c>
      <c r="I118">
        <f>_xlfn.XLOOKUP(A118,Orders!B:B,Orders!C:C,"Not Found")</f>
        <v>5</v>
      </c>
    </row>
    <row r="119" spans="1:9" x14ac:dyDescent="0.3">
      <c r="A119" s="1" t="s">
        <v>174</v>
      </c>
      <c r="B119" s="1" t="s">
        <v>82</v>
      </c>
      <c r="C119">
        <v>3</v>
      </c>
      <c r="D119">
        <v>17</v>
      </c>
      <c r="E119" t="b">
        <v>0</v>
      </c>
      <c r="F119" s="2">
        <v>45973</v>
      </c>
      <c r="G119" t="b">
        <v>0</v>
      </c>
      <c r="H119" t="str">
        <f>_xlfn.XLOOKUP(B119,Products!A:A,Products!B:B,"Not Found")</f>
        <v>Home</v>
      </c>
      <c r="I119">
        <f>_xlfn.XLOOKUP(A119,Orders!B:B,Orders!C:C,"Not Found")</f>
        <v>8</v>
      </c>
    </row>
    <row r="120" spans="1:9" x14ac:dyDescent="0.3">
      <c r="A120" s="1" t="s">
        <v>175</v>
      </c>
      <c r="B120" s="1" t="s">
        <v>37</v>
      </c>
      <c r="C120">
        <v>3</v>
      </c>
      <c r="D120">
        <v>46</v>
      </c>
      <c r="E120" t="b">
        <v>0</v>
      </c>
      <c r="F120" s="2">
        <v>45956</v>
      </c>
      <c r="G120" t="b">
        <v>0</v>
      </c>
      <c r="H120" t="str">
        <f>_xlfn.XLOOKUP(B120,Products!A:A,Products!B:B,"Not Found")</f>
        <v>Home</v>
      </c>
      <c r="I120">
        <f>_xlfn.XLOOKUP(A120,Orders!B:B,Orders!C:C,"Not Found")</f>
        <v>2</v>
      </c>
    </row>
    <row r="121" spans="1:9" x14ac:dyDescent="0.3">
      <c r="A121" s="1" t="s">
        <v>176</v>
      </c>
      <c r="B121" s="1" t="s">
        <v>47</v>
      </c>
      <c r="C121">
        <v>3</v>
      </c>
      <c r="D121">
        <v>229</v>
      </c>
      <c r="E121" t="b">
        <v>1</v>
      </c>
      <c r="F121" s="2">
        <v>45846</v>
      </c>
      <c r="G121" t="b">
        <v>1</v>
      </c>
      <c r="H121" t="str">
        <f>_xlfn.XLOOKUP(B121,Products!A:A,Products!B:B,"Not Found")</f>
        <v>Home</v>
      </c>
      <c r="I121">
        <f>_xlfn.XLOOKUP(A121,Orders!B:B,Orders!C:C,"Not Found")</f>
        <v>3</v>
      </c>
    </row>
    <row r="122" spans="1:9" x14ac:dyDescent="0.3">
      <c r="A122" s="1" t="s">
        <v>177</v>
      </c>
      <c r="B122" s="1" t="s">
        <v>8</v>
      </c>
      <c r="C122">
        <v>5</v>
      </c>
      <c r="D122">
        <v>9</v>
      </c>
      <c r="E122" t="b">
        <v>0</v>
      </c>
      <c r="F122" s="2">
        <v>46003</v>
      </c>
      <c r="G122" t="b">
        <v>0</v>
      </c>
      <c r="H122" t="str">
        <f>_xlfn.XLOOKUP(B122,Products!A:A,Products!B:B,"Not Found")</f>
        <v>Beauty</v>
      </c>
      <c r="I122">
        <f>_xlfn.XLOOKUP(A122,Orders!B:B,Orders!C:C,"Not Found")</f>
        <v>4</v>
      </c>
    </row>
    <row r="123" spans="1:9" x14ac:dyDescent="0.3">
      <c r="A123" s="1" t="s">
        <v>178</v>
      </c>
      <c r="B123" s="1" t="s">
        <v>37</v>
      </c>
      <c r="C123">
        <v>1</v>
      </c>
      <c r="D123">
        <v>50</v>
      </c>
      <c r="E123" t="b">
        <v>0</v>
      </c>
      <c r="F123" s="2">
        <v>45955</v>
      </c>
      <c r="G123" t="b">
        <v>0</v>
      </c>
      <c r="H123" t="str">
        <f>_xlfn.XLOOKUP(B123,Products!A:A,Products!B:B,"Not Found")</f>
        <v>Home</v>
      </c>
      <c r="I123">
        <f>_xlfn.XLOOKUP(A123,Orders!B:B,Orders!C:C,"Not Found")</f>
        <v>6</v>
      </c>
    </row>
    <row r="124" spans="1:9" x14ac:dyDescent="0.3">
      <c r="A124" s="1" t="s">
        <v>179</v>
      </c>
      <c r="B124" s="1" t="s">
        <v>96</v>
      </c>
      <c r="C124">
        <v>3</v>
      </c>
      <c r="D124">
        <v>30</v>
      </c>
      <c r="E124" t="b">
        <v>0</v>
      </c>
      <c r="F124" s="2">
        <v>45857</v>
      </c>
      <c r="G124" t="b">
        <v>0</v>
      </c>
      <c r="H124" t="str">
        <f>_xlfn.XLOOKUP(B124,Products!A:A,Products!B:B,"Not Found")</f>
        <v>Sports</v>
      </c>
      <c r="I124">
        <f>_xlfn.XLOOKUP(A124,Orders!B:B,Orders!C:C,"Not Found")</f>
        <v>4</v>
      </c>
    </row>
    <row r="125" spans="1:9" x14ac:dyDescent="0.3">
      <c r="A125" s="1" t="s">
        <v>180</v>
      </c>
      <c r="B125" s="1" t="s">
        <v>42</v>
      </c>
      <c r="C125">
        <v>5</v>
      </c>
      <c r="D125">
        <v>169</v>
      </c>
      <c r="E125" t="b">
        <v>1</v>
      </c>
      <c r="F125" s="2">
        <v>45735</v>
      </c>
      <c r="G125" t="b">
        <v>1</v>
      </c>
      <c r="H125" t="str">
        <f>_xlfn.XLOOKUP(B125,Products!A:A,Products!B:B,"Not Found")</f>
        <v>Sports</v>
      </c>
      <c r="I125">
        <f>_xlfn.XLOOKUP(A125,Orders!B:B,Orders!C:C,"Not Found")</f>
        <v>4</v>
      </c>
    </row>
    <row r="126" spans="1:9" x14ac:dyDescent="0.3">
      <c r="A126" s="1" t="s">
        <v>181</v>
      </c>
      <c r="B126" s="1" t="s">
        <v>14</v>
      </c>
      <c r="C126">
        <v>1</v>
      </c>
      <c r="D126">
        <v>10</v>
      </c>
      <c r="E126" t="b">
        <v>1</v>
      </c>
      <c r="F126" s="2">
        <v>45726</v>
      </c>
      <c r="G126" t="b">
        <v>0</v>
      </c>
      <c r="H126" t="str">
        <f>_xlfn.XLOOKUP(B126,Products!A:A,Products!B:B,"Not Found")</f>
        <v>Electronics</v>
      </c>
      <c r="I126">
        <f>_xlfn.XLOOKUP(A126,Orders!B:B,Orders!C:C,"Not Found")</f>
        <v>2</v>
      </c>
    </row>
    <row r="127" spans="1:9" x14ac:dyDescent="0.3">
      <c r="A127" s="1" t="s">
        <v>182</v>
      </c>
      <c r="B127" s="1" t="s">
        <v>49</v>
      </c>
      <c r="C127">
        <v>4</v>
      </c>
      <c r="D127">
        <v>38</v>
      </c>
      <c r="E127" t="b">
        <v>0</v>
      </c>
      <c r="F127" s="2">
        <v>45757</v>
      </c>
      <c r="G127" t="b">
        <v>0</v>
      </c>
      <c r="H127" t="str">
        <f>_xlfn.XLOOKUP(B127,Products!A:A,Products!B:B,"Not Found")</f>
        <v>Sports</v>
      </c>
      <c r="I127">
        <f>_xlfn.XLOOKUP(A127,Orders!B:B,Orders!C:C,"Not Found")</f>
        <v>4</v>
      </c>
    </row>
    <row r="128" spans="1:9" x14ac:dyDescent="0.3">
      <c r="A128" s="1" t="s">
        <v>183</v>
      </c>
      <c r="B128" s="1" t="s">
        <v>128</v>
      </c>
      <c r="C128">
        <v>3</v>
      </c>
      <c r="D128">
        <v>42</v>
      </c>
      <c r="E128" t="b">
        <v>0</v>
      </c>
      <c r="F128" s="2">
        <v>45774</v>
      </c>
      <c r="G128" t="b">
        <v>0</v>
      </c>
      <c r="H128" t="str">
        <f>_xlfn.XLOOKUP(B128,Products!A:A,Products!B:B,"Not Found")</f>
        <v>Beauty</v>
      </c>
      <c r="I128">
        <f>_xlfn.XLOOKUP(A128,Orders!B:B,Orders!C:C,"Not Found")</f>
        <v>3</v>
      </c>
    </row>
    <row r="129" spans="1:9" x14ac:dyDescent="0.3">
      <c r="A129" s="1" t="s">
        <v>184</v>
      </c>
      <c r="B129" s="1" t="s">
        <v>42</v>
      </c>
      <c r="C129">
        <v>3</v>
      </c>
      <c r="D129">
        <v>35</v>
      </c>
      <c r="E129" t="b">
        <v>1</v>
      </c>
      <c r="F129" s="2">
        <v>45820</v>
      </c>
      <c r="G129" t="b">
        <v>0</v>
      </c>
      <c r="H129" t="str">
        <f>_xlfn.XLOOKUP(B129,Products!A:A,Products!B:B,"Not Found")</f>
        <v>Sports</v>
      </c>
      <c r="I129">
        <f>_xlfn.XLOOKUP(A129,Orders!B:B,Orders!C:C,"Not Found")</f>
        <v>7</v>
      </c>
    </row>
    <row r="130" spans="1:9" x14ac:dyDescent="0.3">
      <c r="A130" s="1" t="s">
        <v>185</v>
      </c>
      <c r="B130" s="1" t="s">
        <v>39</v>
      </c>
      <c r="C130">
        <v>2</v>
      </c>
      <c r="D130">
        <v>88</v>
      </c>
      <c r="E130" t="b">
        <v>1</v>
      </c>
      <c r="F130" s="2">
        <v>45960</v>
      </c>
      <c r="G130" t="b">
        <v>0</v>
      </c>
      <c r="H130" t="str">
        <f>_xlfn.XLOOKUP(B130,Products!A:A,Products!B:B,"Not Found")</f>
        <v>Sports</v>
      </c>
      <c r="I130">
        <f>_xlfn.XLOOKUP(A130,Orders!B:B,Orders!C:C,"Not Found")</f>
        <v>3</v>
      </c>
    </row>
    <row r="131" spans="1:9" x14ac:dyDescent="0.3">
      <c r="A131" s="1" t="s">
        <v>186</v>
      </c>
      <c r="B131" s="1" t="s">
        <v>56</v>
      </c>
      <c r="C131">
        <v>3</v>
      </c>
      <c r="D131">
        <v>15</v>
      </c>
      <c r="E131" t="b">
        <v>0</v>
      </c>
      <c r="F131" s="2">
        <v>45940</v>
      </c>
      <c r="G131" t="b">
        <v>0</v>
      </c>
      <c r="H131" t="str">
        <f>_xlfn.XLOOKUP(B131,Products!A:A,Products!B:B,"Not Found")</f>
        <v>Beauty</v>
      </c>
      <c r="I131">
        <f>_xlfn.XLOOKUP(A131,Orders!B:B,Orders!C:C,"Not Found")</f>
        <v>3</v>
      </c>
    </row>
    <row r="132" spans="1:9" x14ac:dyDescent="0.3">
      <c r="A132" s="1" t="s">
        <v>187</v>
      </c>
      <c r="B132" s="1" t="s">
        <v>58</v>
      </c>
      <c r="C132">
        <v>4</v>
      </c>
      <c r="D132">
        <v>12</v>
      </c>
      <c r="E132" t="b">
        <v>1</v>
      </c>
      <c r="F132" s="2">
        <v>46009</v>
      </c>
      <c r="G132" t="b">
        <v>0</v>
      </c>
      <c r="H132" t="str">
        <f>_xlfn.XLOOKUP(B132,Products!A:A,Products!B:B,"Not Found")</f>
        <v>Electronics</v>
      </c>
      <c r="I132">
        <f>_xlfn.XLOOKUP(A132,Orders!B:B,Orders!C:C,"Not Found")</f>
        <v>8</v>
      </c>
    </row>
    <row r="133" spans="1:9" x14ac:dyDescent="0.3">
      <c r="A133" s="1" t="s">
        <v>188</v>
      </c>
      <c r="B133" s="1" t="s">
        <v>189</v>
      </c>
      <c r="C133">
        <v>3</v>
      </c>
      <c r="D133">
        <v>8</v>
      </c>
      <c r="E133" t="b">
        <v>0</v>
      </c>
      <c r="F133" s="2">
        <v>45724</v>
      </c>
      <c r="G133" t="b">
        <v>0</v>
      </c>
      <c r="H133" t="str">
        <f>_xlfn.XLOOKUP(B133,Products!A:A,Products!B:B,"Not Found")</f>
        <v>Sports</v>
      </c>
      <c r="I133">
        <f>_xlfn.XLOOKUP(A133,Orders!B:B,Orders!C:C,"Not Found")</f>
        <v>1</v>
      </c>
    </row>
    <row r="134" spans="1:9" x14ac:dyDescent="0.3">
      <c r="A134" s="1" t="s">
        <v>190</v>
      </c>
      <c r="B134" s="1" t="s">
        <v>168</v>
      </c>
      <c r="C134">
        <v>4</v>
      </c>
      <c r="D134">
        <v>38</v>
      </c>
      <c r="E134" t="b">
        <v>1</v>
      </c>
      <c r="F134" s="2">
        <v>45965</v>
      </c>
      <c r="G134" t="b">
        <v>0</v>
      </c>
      <c r="H134" t="str">
        <f>_xlfn.XLOOKUP(B134,Products!A:A,Products!B:B,"Not Found")</f>
        <v>Beauty</v>
      </c>
      <c r="I134">
        <f>_xlfn.XLOOKUP(A134,Orders!B:B,Orders!C:C,"Not Found")</f>
        <v>4</v>
      </c>
    </row>
    <row r="135" spans="1:9" x14ac:dyDescent="0.3">
      <c r="A135" s="1" t="s">
        <v>191</v>
      </c>
      <c r="B135" s="1" t="s">
        <v>71</v>
      </c>
      <c r="C135">
        <v>5</v>
      </c>
      <c r="D135">
        <v>19</v>
      </c>
      <c r="E135" t="b">
        <v>1</v>
      </c>
      <c r="F135" s="2">
        <v>45663</v>
      </c>
      <c r="G135" t="b">
        <v>0</v>
      </c>
      <c r="H135" t="str">
        <f>_xlfn.XLOOKUP(B135,Products!A:A,Products!B:B,"Not Found")</f>
        <v>Home</v>
      </c>
      <c r="I135">
        <f>_xlfn.XLOOKUP(A135,Orders!B:B,Orders!C:C,"Not Found")</f>
        <v>5</v>
      </c>
    </row>
    <row r="136" spans="1:9" x14ac:dyDescent="0.3">
      <c r="A136" s="1" t="s">
        <v>192</v>
      </c>
      <c r="B136" s="1" t="s">
        <v>31</v>
      </c>
      <c r="C136">
        <v>5</v>
      </c>
      <c r="D136">
        <v>24</v>
      </c>
      <c r="E136" t="b">
        <v>1</v>
      </c>
      <c r="F136" s="2">
        <v>45865</v>
      </c>
      <c r="G136" t="b">
        <v>0</v>
      </c>
      <c r="H136" t="str">
        <f>_xlfn.XLOOKUP(B136,Products!A:A,Products!B:B,"Not Found")</f>
        <v>Sports</v>
      </c>
      <c r="I136">
        <f>_xlfn.XLOOKUP(A136,Orders!B:B,Orders!C:C,"Not Found")</f>
        <v>2</v>
      </c>
    </row>
    <row r="137" spans="1:9" x14ac:dyDescent="0.3">
      <c r="A137" s="1" t="s">
        <v>193</v>
      </c>
      <c r="B137" s="1" t="s">
        <v>29</v>
      </c>
      <c r="C137">
        <v>2</v>
      </c>
      <c r="D137">
        <v>120</v>
      </c>
      <c r="E137" t="b">
        <v>0</v>
      </c>
      <c r="F137" s="2">
        <v>45942</v>
      </c>
      <c r="G137" t="b">
        <v>0</v>
      </c>
      <c r="H137" t="str">
        <f>_xlfn.XLOOKUP(B137,Products!A:A,Products!B:B,"Not Found")</f>
        <v>Sports</v>
      </c>
      <c r="I137">
        <f>_xlfn.XLOOKUP(A137,Orders!B:B,Orders!C:C,"Not Found")</f>
        <v>4</v>
      </c>
    </row>
    <row r="138" spans="1:9" x14ac:dyDescent="0.3">
      <c r="A138" s="1" t="s">
        <v>194</v>
      </c>
      <c r="B138" s="1" t="s">
        <v>25</v>
      </c>
      <c r="C138">
        <v>3</v>
      </c>
      <c r="D138">
        <v>41</v>
      </c>
      <c r="E138" t="b">
        <v>1</v>
      </c>
      <c r="F138" s="2">
        <v>45893</v>
      </c>
      <c r="G138" t="b">
        <v>0</v>
      </c>
      <c r="H138" t="str">
        <f>_xlfn.XLOOKUP(B138,Products!A:A,Products!B:B,"Not Found")</f>
        <v>Books</v>
      </c>
      <c r="I138">
        <f>_xlfn.XLOOKUP(A138,Orders!B:B,Orders!C:C,"Not Found")</f>
        <v>3</v>
      </c>
    </row>
    <row r="139" spans="1:9" x14ac:dyDescent="0.3">
      <c r="A139" s="1" t="s">
        <v>195</v>
      </c>
      <c r="B139" s="1" t="s">
        <v>44</v>
      </c>
      <c r="C139">
        <v>4</v>
      </c>
      <c r="D139">
        <v>41</v>
      </c>
      <c r="E139" t="b">
        <v>0</v>
      </c>
      <c r="F139" s="2">
        <v>45959</v>
      </c>
      <c r="G139" t="b">
        <v>0</v>
      </c>
      <c r="H139" t="str">
        <f>_xlfn.XLOOKUP(B139,Products!A:A,Products!B:B,"Not Found")</f>
        <v>Home</v>
      </c>
      <c r="I139">
        <f>_xlfn.XLOOKUP(A139,Orders!B:B,Orders!C:C,"Not Found")</f>
        <v>1</v>
      </c>
    </row>
    <row r="140" spans="1:9" x14ac:dyDescent="0.3">
      <c r="A140" s="1" t="s">
        <v>196</v>
      </c>
      <c r="B140" s="1" t="s">
        <v>197</v>
      </c>
      <c r="C140">
        <v>4</v>
      </c>
      <c r="D140">
        <v>69</v>
      </c>
      <c r="E140" t="b">
        <v>0</v>
      </c>
      <c r="F140" s="2">
        <v>45782</v>
      </c>
      <c r="G140" t="b">
        <v>0</v>
      </c>
      <c r="H140" t="str">
        <f>_xlfn.XLOOKUP(B140,Products!A:A,Products!B:B,"Not Found")</f>
        <v>Home</v>
      </c>
      <c r="I140">
        <f>_xlfn.XLOOKUP(A140,Orders!B:B,Orders!C:C,"Not Found")</f>
        <v>5</v>
      </c>
    </row>
    <row r="141" spans="1:9" x14ac:dyDescent="0.3">
      <c r="A141" s="1" t="s">
        <v>198</v>
      </c>
      <c r="B141" s="1" t="s">
        <v>33</v>
      </c>
      <c r="C141">
        <v>5</v>
      </c>
      <c r="D141">
        <v>30</v>
      </c>
      <c r="E141" t="b">
        <v>0</v>
      </c>
      <c r="F141" s="2">
        <v>45774</v>
      </c>
      <c r="G141" t="b">
        <v>0</v>
      </c>
      <c r="H141" t="str">
        <f>_xlfn.XLOOKUP(B141,Products!A:A,Products!B:B,"Not Found")</f>
        <v>Books</v>
      </c>
      <c r="I141">
        <f>_xlfn.XLOOKUP(A141,Orders!B:B,Orders!C:C,"Not Found")</f>
        <v>4</v>
      </c>
    </row>
    <row r="142" spans="1:9" x14ac:dyDescent="0.3">
      <c r="A142" s="1" t="s">
        <v>199</v>
      </c>
      <c r="B142" s="1" t="s">
        <v>71</v>
      </c>
      <c r="C142">
        <v>4</v>
      </c>
      <c r="D142">
        <v>217</v>
      </c>
      <c r="E142" t="b">
        <v>1</v>
      </c>
      <c r="F142" s="2">
        <v>45857</v>
      </c>
      <c r="G142" t="b">
        <v>1</v>
      </c>
      <c r="H142" t="str">
        <f>_xlfn.XLOOKUP(B142,Products!A:A,Products!B:B,"Not Found")</f>
        <v>Home</v>
      </c>
      <c r="I142">
        <f>_xlfn.XLOOKUP(A142,Orders!B:B,Orders!C:C,"Not Found")</f>
        <v>8</v>
      </c>
    </row>
    <row r="143" spans="1:9" x14ac:dyDescent="0.3">
      <c r="A143" s="1" t="s">
        <v>200</v>
      </c>
      <c r="B143" s="1" t="s">
        <v>18</v>
      </c>
      <c r="C143">
        <v>2</v>
      </c>
      <c r="D143">
        <v>30</v>
      </c>
      <c r="E143" t="b">
        <v>0</v>
      </c>
      <c r="F143" s="2">
        <v>45773</v>
      </c>
      <c r="G143" t="b">
        <v>0</v>
      </c>
      <c r="H143" t="str">
        <f>_xlfn.XLOOKUP(B143,Products!A:A,Products!B:B,"Not Found")</f>
        <v>Electronics</v>
      </c>
      <c r="I143">
        <f>_xlfn.XLOOKUP(A143,Orders!B:B,Orders!C:C,"Not Found")</f>
        <v>6</v>
      </c>
    </row>
    <row r="144" spans="1:9" x14ac:dyDescent="0.3">
      <c r="A144" s="1" t="s">
        <v>201</v>
      </c>
      <c r="B144" s="1" t="s">
        <v>84</v>
      </c>
      <c r="C144">
        <v>3</v>
      </c>
      <c r="D144">
        <v>50</v>
      </c>
      <c r="E144" t="b">
        <v>0</v>
      </c>
      <c r="F144" s="2">
        <v>45832</v>
      </c>
      <c r="G144" t="b">
        <v>0</v>
      </c>
      <c r="H144" t="str">
        <f>_xlfn.XLOOKUP(B144,Products!A:A,Products!B:B,"Not Found")</f>
        <v>Beauty</v>
      </c>
      <c r="I144">
        <f>_xlfn.XLOOKUP(A144,Orders!B:B,Orders!C:C,"Not Found")</f>
        <v>7</v>
      </c>
    </row>
    <row r="145" spans="1:9" x14ac:dyDescent="0.3">
      <c r="A145" s="1" t="s">
        <v>202</v>
      </c>
      <c r="B145" s="1" t="s">
        <v>203</v>
      </c>
      <c r="C145">
        <v>4</v>
      </c>
      <c r="D145">
        <v>42</v>
      </c>
      <c r="E145" t="b">
        <v>1</v>
      </c>
      <c r="F145" s="2">
        <v>46022</v>
      </c>
      <c r="G145" t="b">
        <v>0</v>
      </c>
      <c r="H145" t="str">
        <f>_xlfn.XLOOKUP(B145,Products!A:A,Products!B:B,"Not Found")</f>
        <v>Beauty</v>
      </c>
      <c r="I145">
        <f>_xlfn.XLOOKUP(A145,Orders!B:B,Orders!C:C,"Not Found")</f>
        <v>6</v>
      </c>
    </row>
    <row r="146" spans="1:9" x14ac:dyDescent="0.3">
      <c r="A146" s="1" t="s">
        <v>204</v>
      </c>
      <c r="B146" s="1" t="s">
        <v>123</v>
      </c>
      <c r="C146">
        <v>5</v>
      </c>
      <c r="D146">
        <v>29</v>
      </c>
      <c r="E146" t="b">
        <v>0</v>
      </c>
      <c r="F146" s="2">
        <v>45916</v>
      </c>
      <c r="G146" t="b">
        <v>0</v>
      </c>
      <c r="H146" t="str">
        <f>_xlfn.XLOOKUP(B146,Products!A:A,Products!B:B,"Not Found")</f>
        <v>Books</v>
      </c>
      <c r="I146">
        <f>_xlfn.XLOOKUP(A146,Orders!B:B,Orders!C:C,"Not Found")</f>
        <v>5</v>
      </c>
    </row>
    <row r="147" spans="1:9" x14ac:dyDescent="0.3">
      <c r="A147" s="1" t="s">
        <v>205</v>
      </c>
      <c r="B147" s="1" t="s">
        <v>206</v>
      </c>
      <c r="C147">
        <v>5</v>
      </c>
      <c r="D147">
        <v>46</v>
      </c>
      <c r="E147" t="b">
        <v>0</v>
      </c>
      <c r="F147" s="2">
        <v>45854</v>
      </c>
      <c r="G147" t="b">
        <v>0</v>
      </c>
      <c r="H147" t="str">
        <f>_xlfn.XLOOKUP(B147,Products!A:A,Products!B:B,"Not Found")</f>
        <v>Electronics</v>
      </c>
      <c r="I147">
        <f>_xlfn.XLOOKUP(A147,Orders!B:B,Orders!C:C,"Not Found")</f>
        <v>2</v>
      </c>
    </row>
    <row r="148" spans="1:9" x14ac:dyDescent="0.3">
      <c r="A148" s="1" t="s">
        <v>207</v>
      </c>
      <c r="B148" s="1" t="s">
        <v>68</v>
      </c>
      <c r="C148">
        <v>3</v>
      </c>
      <c r="D148">
        <v>49</v>
      </c>
      <c r="E148" t="b">
        <v>1</v>
      </c>
      <c r="F148" s="2">
        <v>45760</v>
      </c>
      <c r="G148" t="b">
        <v>0</v>
      </c>
      <c r="H148" t="str">
        <f>_xlfn.XLOOKUP(B148,Products!A:A,Products!B:B,"Not Found")</f>
        <v>Sports</v>
      </c>
      <c r="I148">
        <f>_xlfn.XLOOKUP(A148,Orders!B:B,Orders!C:C,"Not Found")</f>
        <v>3</v>
      </c>
    </row>
    <row r="149" spans="1:9" x14ac:dyDescent="0.3">
      <c r="A149" s="1" t="s">
        <v>208</v>
      </c>
      <c r="B149" s="1" t="s">
        <v>104</v>
      </c>
      <c r="C149">
        <v>1</v>
      </c>
      <c r="D149">
        <v>40</v>
      </c>
      <c r="E149" t="b">
        <v>1</v>
      </c>
      <c r="F149" s="2">
        <v>45776</v>
      </c>
      <c r="G149" t="b">
        <v>0</v>
      </c>
      <c r="H149" t="str">
        <f>_xlfn.XLOOKUP(B149,Products!A:A,Products!B:B,"Not Found")</f>
        <v>Books</v>
      </c>
      <c r="I149">
        <f>_xlfn.XLOOKUP(A149,Orders!B:B,Orders!C:C,"Not Found")</f>
        <v>4</v>
      </c>
    </row>
    <row r="150" spans="1:9" x14ac:dyDescent="0.3">
      <c r="A150" s="1" t="s">
        <v>209</v>
      </c>
      <c r="B150" s="1" t="s">
        <v>104</v>
      </c>
      <c r="C150">
        <v>4</v>
      </c>
      <c r="D150">
        <v>40</v>
      </c>
      <c r="E150" t="b">
        <v>1</v>
      </c>
      <c r="F150" s="2">
        <v>45802</v>
      </c>
      <c r="G150" t="b">
        <v>0</v>
      </c>
      <c r="H150" t="str">
        <f>_xlfn.XLOOKUP(B150,Products!A:A,Products!B:B,"Not Found")</f>
        <v>Books</v>
      </c>
      <c r="I150">
        <f>_xlfn.XLOOKUP(A150,Orders!B:B,Orders!C:C,"Not Found")</f>
        <v>5</v>
      </c>
    </row>
    <row r="151" spans="1:9" x14ac:dyDescent="0.3">
      <c r="A151" s="1" t="s">
        <v>210</v>
      </c>
      <c r="B151" s="1" t="s">
        <v>16</v>
      </c>
      <c r="C151">
        <v>1</v>
      </c>
      <c r="D151">
        <v>40</v>
      </c>
      <c r="E151" t="b">
        <v>0</v>
      </c>
      <c r="F151" s="2">
        <v>45944</v>
      </c>
      <c r="G151" t="b">
        <v>0</v>
      </c>
      <c r="H151" t="str">
        <f>_xlfn.XLOOKUP(B151,Products!A:A,Products!B:B,"Not Found")</f>
        <v>Electronics</v>
      </c>
      <c r="I151">
        <f>_xlfn.XLOOKUP(A151,Orders!B:B,Orders!C:C,"Not Found")</f>
        <v>7</v>
      </c>
    </row>
    <row r="152" spans="1:9" x14ac:dyDescent="0.3">
      <c r="A152" s="1" t="s">
        <v>211</v>
      </c>
      <c r="B152" s="1" t="s">
        <v>212</v>
      </c>
      <c r="C152">
        <v>4</v>
      </c>
      <c r="D152">
        <v>134</v>
      </c>
      <c r="E152" t="b">
        <v>0</v>
      </c>
      <c r="F152" s="2">
        <v>45840</v>
      </c>
      <c r="G152" t="b">
        <v>1</v>
      </c>
      <c r="H152" t="str">
        <f>_xlfn.XLOOKUP(B152,Products!A:A,Products!B:B,"Not Found")</f>
        <v>Home</v>
      </c>
      <c r="I152">
        <f>_xlfn.XLOOKUP(A152,Orders!B:B,Orders!C:C,"Not Found")</f>
        <v>3</v>
      </c>
    </row>
    <row r="153" spans="1:9" x14ac:dyDescent="0.3">
      <c r="A153" s="1" t="s">
        <v>213</v>
      </c>
      <c r="B153" s="1" t="s">
        <v>104</v>
      </c>
      <c r="C153">
        <v>2</v>
      </c>
      <c r="D153">
        <v>36</v>
      </c>
      <c r="E153" t="b">
        <v>1</v>
      </c>
      <c r="F153" s="2">
        <v>45904</v>
      </c>
      <c r="G153" t="b">
        <v>0</v>
      </c>
      <c r="H153" t="str">
        <f>_xlfn.XLOOKUP(B153,Products!A:A,Products!B:B,"Not Found")</f>
        <v>Books</v>
      </c>
      <c r="I153">
        <f>_xlfn.XLOOKUP(A153,Orders!B:B,Orders!C:C,"Not Found")</f>
        <v>3</v>
      </c>
    </row>
    <row r="154" spans="1:9" x14ac:dyDescent="0.3">
      <c r="A154" s="1" t="s">
        <v>214</v>
      </c>
      <c r="B154" s="1" t="s">
        <v>10</v>
      </c>
      <c r="C154">
        <v>3</v>
      </c>
      <c r="D154">
        <v>62</v>
      </c>
      <c r="E154" t="b">
        <v>0</v>
      </c>
      <c r="F154" s="2">
        <v>45849</v>
      </c>
      <c r="G154" t="b">
        <v>0</v>
      </c>
      <c r="H154" t="str">
        <f>_xlfn.XLOOKUP(B154,Products!A:A,Products!B:B,"Not Found")</f>
        <v>Home</v>
      </c>
      <c r="I154">
        <f>_xlfn.XLOOKUP(A154,Orders!B:B,Orders!C:C,"Not Found")</f>
        <v>4</v>
      </c>
    </row>
    <row r="155" spans="1:9" x14ac:dyDescent="0.3">
      <c r="A155" s="1" t="s">
        <v>215</v>
      </c>
      <c r="B155" s="1" t="s">
        <v>216</v>
      </c>
      <c r="C155">
        <v>3</v>
      </c>
      <c r="D155">
        <v>35</v>
      </c>
      <c r="E155" t="b">
        <v>0</v>
      </c>
      <c r="F155" s="2">
        <v>45771</v>
      </c>
      <c r="G155" t="b">
        <v>0</v>
      </c>
      <c r="H155" t="str">
        <f>_xlfn.XLOOKUP(B155,Products!A:A,Products!B:B,"Not Found")</f>
        <v>Electronics</v>
      </c>
      <c r="I155">
        <f>_xlfn.XLOOKUP(A155,Orders!B:B,Orders!C:C,"Not Found")</f>
        <v>2</v>
      </c>
    </row>
    <row r="156" spans="1:9" x14ac:dyDescent="0.3">
      <c r="A156" s="1" t="s">
        <v>217</v>
      </c>
      <c r="B156" s="1" t="s">
        <v>218</v>
      </c>
      <c r="C156">
        <v>3</v>
      </c>
      <c r="D156">
        <v>29</v>
      </c>
      <c r="E156" t="b">
        <v>1</v>
      </c>
      <c r="F156" s="2">
        <v>45971</v>
      </c>
      <c r="G156" t="b">
        <v>0</v>
      </c>
      <c r="H156" t="str">
        <f>_xlfn.XLOOKUP(B156,Products!A:A,Products!B:B,"Not Found")</f>
        <v>Books</v>
      </c>
      <c r="I156">
        <f>_xlfn.XLOOKUP(A156,Orders!B:B,Orders!C:C,"Not Found")</f>
        <v>6</v>
      </c>
    </row>
    <row r="157" spans="1:9" x14ac:dyDescent="0.3">
      <c r="A157" s="1" t="s">
        <v>219</v>
      </c>
      <c r="B157" s="1" t="s">
        <v>96</v>
      </c>
      <c r="C157">
        <v>3</v>
      </c>
      <c r="D157">
        <v>36</v>
      </c>
      <c r="E157" t="b">
        <v>1</v>
      </c>
      <c r="F157" s="2">
        <v>45681</v>
      </c>
      <c r="G157" t="b">
        <v>0</v>
      </c>
      <c r="H157" t="str">
        <f>_xlfn.XLOOKUP(B157,Products!A:A,Products!B:B,"Not Found")</f>
        <v>Sports</v>
      </c>
      <c r="I157">
        <f>_xlfn.XLOOKUP(A157,Orders!B:B,Orders!C:C,"Not Found")</f>
        <v>4</v>
      </c>
    </row>
    <row r="158" spans="1:9" x14ac:dyDescent="0.3">
      <c r="A158" s="1" t="s">
        <v>220</v>
      </c>
      <c r="B158" s="1" t="s">
        <v>73</v>
      </c>
      <c r="C158">
        <v>5</v>
      </c>
      <c r="D158">
        <v>62</v>
      </c>
      <c r="E158" t="b">
        <v>0</v>
      </c>
      <c r="F158" s="2">
        <v>45812</v>
      </c>
      <c r="G158" t="b">
        <v>0</v>
      </c>
      <c r="H158" t="str">
        <f>_xlfn.XLOOKUP(B158,Products!A:A,Products!B:B,"Not Found")</f>
        <v>Books</v>
      </c>
      <c r="I158">
        <f>_xlfn.XLOOKUP(A158,Orders!B:B,Orders!C:C,"Not Found")</f>
        <v>3</v>
      </c>
    </row>
    <row r="159" spans="1:9" x14ac:dyDescent="0.3">
      <c r="A159" s="1" t="s">
        <v>221</v>
      </c>
      <c r="B159" s="1" t="s">
        <v>25</v>
      </c>
      <c r="D159">
        <v>25</v>
      </c>
      <c r="E159" t="b">
        <v>1</v>
      </c>
      <c r="F159" s="2">
        <v>45847</v>
      </c>
      <c r="G159" t="b">
        <v>0</v>
      </c>
      <c r="H159" t="str">
        <f>_xlfn.XLOOKUP(B159,Products!A:A,Products!B:B,"Not Found")</f>
        <v>Books</v>
      </c>
      <c r="I159">
        <f>_xlfn.XLOOKUP(A159,Orders!B:B,Orders!C:C,"Not Found")</f>
        <v>6</v>
      </c>
    </row>
    <row r="160" spans="1:9" x14ac:dyDescent="0.3">
      <c r="A160" s="1" t="s">
        <v>222</v>
      </c>
      <c r="B160" s="1" t="s">
        <v>49</v>
      </c>
      <c r="C160">
        <v>2</v>
      </c>
      <c r="D160">
        <v>23</v>
      </c>
      <c r="E160" t="b">
        <v>1</v>
      </c>
      <c r="F160" s="2">
        <v>45972</v>
      </c>
      <c r="G160" t="b">
        <v>0</v>
      </c>
      <c r="H160" t="str">
        <f>_xlfn.XLOOKUP(B160,Products!A:A,Products!B:B,"Not Found")</f>
        <v>Sports</v>
      </c>
      <c r="I160">
        <f>_xlfn.XLOOKUP(A160,Orders!B:B,Orders!C:C,"Not Found")</f>
        <v>7</v>
      </c>
    </row>
    <row r="161" spans="1:9" x14ac:dyDescent="0.3">
      <c r="A161" s="1" t="s">
        <v>223</v>
      </c>
      <c r="B161" s="1" t="s">
        <v>119</v>
      </c>
      <c r="C161">
        <v>5</v>
      </c>
      <c r="D161">
        <v>24</v>
      </c>
      <c r="E161" t="b">
        <v>0</v>
      </c>
      <c r="F161" s="2">
        <v>45843</v>
      </c>
      <c r="G161" t="b">
        <v>0</v>
      </c>
      <c r="H161" t="str">
        <f>_xlfn.XLOOKUP(B161,Products!A:A,Products!B:B,"Not Found")</f>
        <v>Electronics</v>
      </c>
      <c r="I161">
        <f>_xlfn.XLOOKUP(A161,Orders!B:B,Orders!C:C,"Not Found")</f>
        <v>2</v>
      </c>
    </row>
    <row r="162" spans="1:9" x14ac:dyDescent="0.3">
      <c r="A162" s="1" t="s">
        <v>224</v>
      </c>
      <c r="B162" s="1" t="s">
        <v>172</v>
      </c>
      <c r="C162">
        <v>1</v>
      </c>
      <c r="D162">
        <v>30</v>
      </c>
      <c r="E162" t="b">
        <v>1</v>
      </c>
      <c r="F162" s="2">
        <v>45684</v>
      </c>
      <c r="G162" t="b">
        <v>0</v>
      </c>
      <c r="H162" t="str">
        <f>_xlfn.XLOOKUP(B162,Products!A:A,Products!B:B,"Not Found")</f>
        <v>Beauty</v>
      </c>
      <c r="I162">
        <f>_xlfn.XLOOKUP(A162,Orders!B:B,Orders!C:C,"Not Found")</f>
        <v>2</v>
      </c>
    </row>
    <row r="163" spans="1:9" x14ac:dyDescent="0.3">
      <c r="A163" s="1" t="s">
        <v>225</v>
      </c>
      <c r="B163" s="1" t="s">
        <v>78</v>
      </c>
      <c r="C163">
        <v>2</v>
      </c>
      <c r="D163">
        <v>28</v>
      </c>
      <c r="E163" t="b">
        <v>1</v>
      </c>
      <c r="F163" s="2">
        <v>45703</v>
      </c>
      <c r="G163" t="b">
        <v>0</v>
      </c>
      <c r="H163" t="str">
        <f>_xlfn.XLOOKUP(B163,Products!A:A,Products!B:B,"Not Found")</f>
        <v>Electronics</v>
      </c>
      <c r="I163">
        <f>_xlfn.XLOOKUP(A163,Orders!B:B,Orders!C:C,"Not Found")</f>
        <v>6</v>
      </c>
    </row>
    <row r="164" spans="1:9" x14ac:dyDescent="0.3">
      <c r="A164" s="1" t="s">
        <v>226</v>
      </c>
      <c r="B164" s="1" t="s">
        <v>106</v>
      </c>
      <c r="C164">
        <v>5</v>
      </c>
      <c r="D164">
        <v>34</v>
      </c>
      <c r="E164" t="b">
        <v>0</v>
      </c>
      <c r="F164" s="2">
        <v>45929</v>
      </c>
      <c r="G164" t="b">
        <v>0</v>
      </c>
      <c r="H164" t="str">
        <f>_xlfn.XLOOKUP(B164,Products!A:A,Products!B:B,"Not Found")</f>
        <v>Home</v>
      </c>
      <c r="I164">
        <f>_xlfn.XLOOKUP(A164,Orders!B:B,Orders!C:C,"Not Found")</f>
        <v>1</v>
      </c>
    </row>
    <row r="165" spans="1:9" x14ac:dyDescent="0.3">
      <c r="A165" s="1" t="s">
        <v>227</v>
      </c>
      <c r="B165" s="1" t="s">
        <v>87</v>
      </c>
      <c r="C165">
        <v>5</v>
      </c>
      <c r="D165">
        <v>18</v>
      </c>
      <c r="E165" t="b">
        <v>1</v>
      </c>
      <c r="F165" s="2">
        <v>45861</v>
      </c>
      <c r="G165" t="b">
        <v>0</v>
      </c>
      <c r="H165" t="str">
        <f>_xlfn.XLOOKUP(B165,Products!A:A,Products!B:B,"Not Found")</f>
        <v>Sports</v>
      </c>
      <c r="I165">
        <f>_xlfn.XLOOKUP(A165,Orders!B:B,Orders!C:C,"Not Found")</f>
        <v>3</v>
      </c>
    </row>
    <row r="166" spans="1:9" x14ac:dyDescent="0.3">
      <c r="A166" s="1" t="s">
        <v>228</v>
      </c>
      <c r="B166" s="1" t="s">
        <v>82</v>
      </c>
      <c r="C166">
        <v>5</v>
      </c>
      <c r="D166">
        <v>34</v>
      </c>
      <c r="E166" t="b">
        <v>0</v>
      </c>
      <c r="F166" s="2">
        <v>45903</v>
      </c>
      <c r="G166" t="b">
        <v>0</v>
      </c>
      <c r="H166" t="str">
        <f>_xlfn.XLOOKUP(B166,Products!A:A,Products!B:B,"Not Found")</f>
        <v>Home</v>
      </c>
      <c r="I166">
        <f>_xlfn.XLOOKUP(A166,Orders!B:B,Orders!C:C,"Not Found")</f>
        <v>4</v>
      </c>
    </row>
    <row r="167" spans="1:9" x14ac:dyDescent="0.3">
      <c r="A167" s="1" t="s">
        <v>229</v>
      </c>
      <c r="B167" s="1" t="s">
        <v>151</v>
      </c>
      <c r="C167">
        <v>4</v>
      </c>
      <c r="D167">
        <v>43</v>
      </c>
      <c r="E167" t="b">
        <v>0</v>
      </c>
      <c r="F167" s="2">
        <v>45755</v>
      </c>
      <c r="G167" t="b">
        <v>0</v>
      </c>
      <c r="H167" t="str">
        <f>_xlfn.XLOOKUP(B167,Products!A:A,Products!B:B,"Not Found")</f>
        <v>Beauty</v>
      </c>
      <c r="I167">
        <f>_xlfn.XLOOKUP(A167,Orders!B:B,Orders!C:C,"Not Found")</f>
        <v>4</v>
      </c>
    </row>
    <row r="168" spans="1:9" x14ac:dyDescent="0.3">
      <c r="A168" s="1" t="s">
        <v>230</v>
      </c>
      <c r="B168" s="1" t="s">
        <v>231</v>
      </c>
      <c r="C168">
        <v>5</v>
      </c>
      <c r="D168">
        <v>38</v>
      </c>
      <c r="E168" t="b">
        <v>1</v>
      </c>
      <c r="F168" s="2">
        <v>45896</v>
      </c>
      <c r="G168" t="b">
        <v>0</v>
      </c>
      <c r="H168" t="str">
        <f>_xlfn.XLOOKUP(B168,Products!A:A,Products!B:B,"Not Found")</f>
        <v>Electronics</v>
      </c>
      <c r="I168">
        <f>_xlfn.XLOOKUP(A168,Orders!B:B,Orders!C:C,"Not Found")</f>
        <v>5</v>
      </c>
    </row>
    <row r="169" spans="1:9" x14ac:dyDescent="0.3">
      <c r="A169" s="1" t="s">
        <v>232</v>
      </c>
      <c r="B169" s="1" t="s">
        <v>197</v>
      </c>
      <c r="C169">
        <v>2</v>
      </c>
      <c r="D169">
        <v>26</v>
      </c>
      <c r="E169" t="b">
        <v>1</v>
      </c>
      <c r="F169" s="2">
        <v>45950</v>
      </c>
      <c r="G169" t="b">
        <v>0</v>
      </c>
      <c r="H169" t="str">
        <f>_xlfn.XLOOKUP(B169,Products!A:A,Products!B:B,"Not Found")</f>
        <v>Home</v>
      </c>
      <c r="I169">
        <f>_xlfn.XLOOKUP(A169,Orders!B:B,Orders!C:C,"Not Found")</f>
        <v>3</v>
      </c>
    </row>
    <row r="170" spans="1:9" x14ac:dyDescent="0.3">
      <c r="A170" s="1" t="s">
        <v>233</v>
      </c>
      <c r="B170" s="1" t="s">
        <v>16</v>
      </c>
      <c r="C170">
        <v>2</v>
      </c>
      <c r="D170">
        <v>63</v>
      </c>
      <c r="E170" t="b">
        <v>0</v>
      </c>
      <c r="F170" s="2">
        <v>45696</v>
      </c>
      <c r="G170" t="b">
        <v>0</v>
      </c>
      <c r="H170" t="str">
        <f>_xlfn.XLOOKUP(B170,Products!A:A,Products!B:B,"Not Found")</f>
        <v>Electronics</v>
      </c>
      <c r="I170">
        <f>_xlfn.XLOOKUP(A170,Orders!B:B,Orders!C:C,"Not Found")</f>
        <v>4</v>
      </c>
    </row>
    <row r="171" spans="1:9" x14ac:dyDescent="0.3">
      <c r="A171" s="1" t="s">
        <v>234</v>
      </c>
      <c r="B171" s="1" t="s">
        <v>235</v>
      </c>
      <c r="C171">
        <v>5</v>
      </c>
      <c r="D171">
        <v>82</v>
      </c>
      <c r="E171" t="b">
        <v>0</v>
      </c>
      <c r="F171" s="2">
        <v>45727</v>
      </c>
      <c r="G171" t="b">
        <v>0</v>
      </c>
      <c r="H171" t="str">
        <f>_xlfn.XLOOKUP(B171,Products!A:A,Products!B:B,"Not Found")</f>
        <v>Books</v>
      </c>
      <c r="I171">
        <f>_xlfn.XLOOKUP(A171,Orders!B:B,Orders!C:C,"Not Found")</f>
        <v>9</v>
      </c>
    </row>
    <row r="172" spans="1:9" x14ac:dyDescent="0.3">
      <c r="A172" s="1" t="s">
        <v>236</v>
      </c>
      <c r="B172" s="1" t="s">
        <v>94</v>
      </c>
      <c r="C172">
        <v>4</v>
      </c>
      <c r="D172">
        <v>27</v>
      </c>
      <c r="E172" t="b">
        <v>0</v>
      </c>
      <c r="F172" s="2">
        <v>45986</v>
      </c>
      <c r="G172" t="b">
        <v>0</v>
      </c>
      <c r="H172" t="str">
        <f>_xlfn.XLOOKUP(B172,Products!A:A,Products!B:B,"Not Found")</f>
        <v>Beauty</v>
      </c>
      <c r="I172">
        <f>_xlfn.XLOOKUP(A172,Orders!B:B,Orders!C:C,"Not Found")</f>
        <v>2</v>
      </c>
    </row>
    <row r="173" spans="1:9" x14ac:dyDescent="0.3">
      <c r="A173" s="1" t="s">
        <v>237</v>
      </c>
      <c r="B173" s="1" t="s">
        <v>151</v>
      </c>
      <c r="C173">
        <v>2</v>
      </c>
      <c r="D173">
        <v>14</v>
      </c>
      <c r="E173" t="b">
        <v>1</v>
      </c>
      <c r="F173" s="2">
        <v>45951</v>
      </c>
      <c r="G173" t="b">
        <v>0</v>
      </c>
      <c r="H173" t="str">
        <f>_xlfn.XLOOKUP(B173,Products!A:A,Products!B:B,"Not Found")</f>
        <v>Beauty</v>
      </c>
      <c r="I173">
        <f>_xlfn.XLOOKUP(A173,Orders!B:B,Orders!C:C,"Not Found")</f>
        <v>2</v>
      </c>
    </row>
    <row r="174" spans="1:9" x14ac:dyDescent="0.3">
      <c r="A174" s="1" t="s">
        <v>238</v>
      </c>
      <c r="B174" s="1" t="s">
        <v>189</v>
      </c>
      <c r="C174">
        <v>2</v>
      </c>
      <c r="D174">
        <v>19</v>
      </c>
      <c r="E174" t="b">
        <v>1</v>
      </c>
      <c r="F174" s="2">
        <v>45930</v>
      </c>
      <c r="G174" t="b">
        <v>0</v>
      </c>
      <c r="H174" t="str">
        <f>_xlfn.XLOOKUP(B174,Products!A:A,Products!B:B,"Not Found")</f>
        <v>Sports</v>
      </c>
      <c r="I174">
        <f>_xlfn.XLOOKUP(A174,Orders!B:B,Orders!C:C,"Not Found")</f>
        <v>2</v>
      </c>
    </row>
    <row r="175" spans="1:9" x14ac:dyDescent="0.3">
      <c r="A175" s="1" t="s">
        <v>239</v>
      </c>
      <c r="B175" s="1" t="s">
        <v>96</v>
      </c>
      <c r="C175">
        <v>2</v>
      </c>
      <c r="D175">
        <v>43</v>
      </c>
      <c r="E175" t="b">
        <v>1</v>
      </c>
      <c r="F175" s="2">
        <v>45839</v>
      </c>
      <c r="G175" t="b">
        <v>0</v>
      </c>
      <c r="H175" t="str">
        <f>_xlfn.XLOOKUP(B175,Products!A:A,Products!B:B,"Not Found")</f>
        <v>Sports</v>
      </c>
      <c r="I175">
        <f>_xlfn.XLOOKUP(A175,Orders!B:B,Orders!C:C,"Not Found")</f>
        <v>8</v>
      </c>
    </row>
    <row r="176" spans="1:9" x14ac:dyDescent="0.3">
      <c r="A176" s="1" t="s">
        <v>240</v>
      </c>
      <c r="B176" s="1" t="s">
        <v>12</v>
      </c>
      <c r="C176">
        <v>5</v>
      </c>
      <c r="D176">
        <v>59</v>
      </c>
      <c r="E176" t="b">
        <v>0</v>
      </c>
      <c r="F176" s="2">
        <v>45749</v>
      </c>
      <c r="G176" t="b">
        <v>0</v>
      </c>
      <c r="H176" t="str">
        <f>_xlfn.XLOOKUP(B176,Products!A:A,Products!B:B,"Not Found")</f>
        <v>Books</v>
      </c>
      <c r="I176">
        <f>_xlfn.XLOOKUP(A176,Orders!B:B,Orders!C:C,"Not Found")</f>
        <v>4</v>
      </c>
    </row>
    <row r="177" spans="1:9" x14ac:dyDescent="0.3">
      <c r="A177" s="1" t="s">
        <v>241</v>
      </c>
      <c r="B177" s="1" t="s">
        <v>212</v>
      </c>
      <c r="C177">
        <v>1</v>
      </c>
      <c r="D177">
        <v>68</v>
      </c>
      <c r="E177" t="b">
        <v>0</v>
      </c>
      <c r="F177" s="2">
        <v>45697</v>
      </c>
      <c r="G177" t="b">
        <v>0</v>
      </c>
      <c r="H177" t="str">
        <f>_xlfn.XLOOKUP(B177,Products!A:A,Products!B:B,"Not Found")</f>
        <v>Home</v>
      </c>
      <c r="I177">
        <f>_xlfn.XLOOKUP(A177,Orders!B:B,Orders!C:C,"Not Found")</f>
        <v>4</v>
      </c>
    </row>
    <row r="178" spans="1:9" x14ac:dyDescent="0.3">
      <c r="A178" s="1" t="s">
        <v>242</v>
      </c>
      <c r="B178" s="1" t="s">
        <v>58</v>
      </c>
      <c r="C178">
        <v>2</v>
      </c>
      <c r="D178">
        <v>21</v>
      </c>
      <c r="E178" t="b">
        <v>0</v>
      </c>
      <c r="F178" s="2">
        <v>45841</v>
      </c>
      <c r="G178" t="b">
        <v>0</v>
      </c>
      <c r="H178" t="str">
        <f>_xlfn.XLOOKUP(B178,Products!A:A,Products!B:B,"Not Found")</f>
        <v>Electronics</v>
      </c>
      <c r="I178">
        <f>_xlfn.XLOOKUP(A178,Orders!B:B,Orders!C:C,"Not Found")</f>
        <v>6</v>
      </c>
    </row>
    <row r="179" spans="1:9" x14ac:dyDescent="0.3">
      <c r="A179" s="1" t="s">
        <v>243</v>
      </c>
      <c r="B179" s="1" t="s">
        <v>218</v>
      </c>
      <c r="C179">
        <v>4</v>
      </c>
      <c r="D179">
        <v>23</v>
      </c>
      <c r="E179" t="b">
        <v>0</v>
      </c>
      <c r="F179" s="2">
        <v>45861</v>
      </c>
      <c r="G179" t="b">
        <v>0</v>
      </c>
      <c r="H179" t="str">
        <f>_xlfn.XLOOKUP(B179,Products!A:A,Products!B:B,"Not Found")</f>
        <v>Books</v>
      </c>
      <c r="I179">
        <f>_xlfn.XLOOKUP(A179,Orders!B:B,Orders!C:C,"Not Found")</f>
        <v>3</v>
      </c>
    </row>
    <row r="180" spans="1:9" x14ac:dyDescent="0.3">
      <c r="A180" s="1" t="s">
        <v>244</v>
      </c>
      <c r="B180" s="1" t="s">
        <v>22</v>
      </c>
      <c r="C180">
        <v>3</v>
      </c>
      <c r="D180">
        <v>119</v>
      </c>
      <c r="E180" t="b">
        <v>0</v>
      </c>
      <c r="F180" s="2">
        <v>45891</v>
      </c>
      <c r="G180" t="b">
        <v>0</v>
      </c>
      <c r="H180" t="str">
        <f>_xlfn.XLOOKUP(B180,Products!A:A,Products!B:B,"Not Found")</f>
        <v>Beauty</v>
      </c>
      <c r="I180">
        <f>_xlfn.XLOOKUP(A180,Orders!B:B,Orders!C:C,"Not Found")</f>
        <v>2</v>
      </c>
    </row>
    <row r="181" spans="1:9" x14ac:dyDescent="0.3">
      <c r="A181" s="1" t="s">
        <v>245</v>
      </c>
      <c r="B181" s="1" t="s">
        <v>25</v>
      </c>
      <c r="C181">
        <v>4</v>
      </c>
      <c r="D181">
        <v>19</v>
      </c>
      <c r="E181" t="b">
        <v>1</v>
      </c>
      <c r="F181" s="2">
        <v>45959</v>
      </c>
      <c r="G181" t="b">
        <v>0</v>
      </c>
      <c r="H181" t="str">
        <f>_xlfn.XLOOKUP(B181,Products!A:A,Products!B:B,"Not Found")</f>
        <v>Books</v>
      </c>
      <c r="I181">
        <f>_xlfn.XLOOKUP(A181,Orders!B:B,Orders!C:C,"Not Found")</f>
        <v>5</v>
      </c>
    </row>
    <row r="182" spans="1:9" x14ac:dyDescent="0.3">
      <c r="A182" s="1" t="s">
        <v>246</v>
      </c>
      <c r="B182" s="1" t="s">
        <v>52</v>
      </c>
      <c r="C182">
        <v>3</v>
      </c>
      <c r="D182">
        <v>29</v>
      </c>
      <c r="E182" t="b">
        <v>1</v>
      </c>
      <c r="F182" s="2">
        <v>45997</v>
      </c>
      <c r="G182" t="b">
        <v>0</v>
      </c>
      <c r="H182" t="str">
        <f>_xlfn.XLOOKUP(B182,Products!A:A,Products!B:B,"Not Found")</f>
        <v>Sports</v>
      </c>
      <c r="I182">
        <f>_xlfn.XLOOKUP(A182,Orders!B:B,Orders!C:C,"Not Found")</f>
        <v>5</v>
      </c>
    </row>
    <row r="183" spans="1:9" x14ac:dyDescent="0.3">
      <c r="A183" s="1" t="s">
        <v>247</v>
      </c>
      <c r="B183" s="1" t="s">
        <v>39</v>
      </c>
      <c r="C183">
        <v>4</v>
      </c>
      <c r="D183">
        <v>46</v>
      </c>
      <c r="E183" t="b">
        <v>0</v>
      </c>
      <c r="F183" s="2">
        <v>45955</v>
      </c>
      <c r="G183" t="b">
        <v>0</v>
      </c>
      <c r="H183" t="str">
        <f>_xlfn.XLOOKUP(B183,Products!A:A,Products!B:B,"Not Found")</f>
        <v>Sports</v>
      </c>
      <c r="I183">
        <f>_xlfn.XLOOKUP(A183,Orders!B:B,Orders!C:C,"Not Found")</f>
        <v>8</v>
      </c>
    </row>
    <row r="184" spans="1:9" x14ac:dyDescent="0.3">
      <c r="A184" s="1" t="s">
        <v>248</v>
      </c>
      <c r="B184" s="1" t="s">
        <v>49</v>
      </c>
      <c r="C184">
        <v>4</v>
      </c>
      <c r="D184">
        <v>25</v>
      </c>
      <c r="E184" t="b">
        <v>1</v>
      </c>
      <c r="F184" s="2">
        <v>45763</v>
      </c>
      <c r="G184" t="b">
        <v>0</v>
      </c>
      <c r="H184" t="str">
        <f>_xlfn.XLOOKUP(B184,Products!A:A,Products!B:B,"Not Found")</f>
        <v>Sports</v>
      </c>
      <c r="I184">
        <f>_xlfn.XLOOKUP(A184,Orders!B:B,Orders!C:C,"Not Found")</f>
        <v>5</v>
      </c>
    </row>
    <row r="185" spans="1:9" x14ac:dyDescent="0.3">
      <c r="A185" s="1" t="s">
        <v>249</v>
      </c>
      <c r="B185" s="1" t="s">
        <v>68</v>
      </c>
      <c r="C185">
        <v>4</v>
      </c>
      <c r="D185">
        <v>50</v>
      </c>
      <c r="E185" t="b">
        <v>0</v>
      </c>
      <c r="F185" s="2">
        <v>45944</v>
      </c>
      <c r="G185" t="b">
        <v>0</v>
      </c>
      <c r="H185" t="str">
        <f>_xlfn.XLOOKUP(B185,Products!A:A,Products!B:B,"Not Found")</f>
        <v>Sports</v>
      </c>
      <c r="I185">
        <f>_xlfn.XLOOKUP(A185,Orders!B:B,Orders!C:C,"Not Found")</f>
        <v>2</v>
      </c>
    </row>
    <row r="186" spans="1:9" x14ac:dyDescent="0.3">
      <c r="A186" s="1" t="s">
        <v>250</v>
      </c>
      <c r="B186" s="1" t="s">
        <v>33</v>
      </c>
      <c r="C186">
        <v>4</v>
      </c>
      <c r="D186">
        <v>19</v>
      </c>
      <c r="E186" t="b">
        <v>1</v>
      </c>
      <c r="F186" s="2">
        <v>45852</v>
      </c>
      <c r="G186" t="b">
        <v>0</v>
      </c>
      <c r="H186" t="str">
        <f>_xlfn.XLOOKUP(B186,Products!A:A,Products!B:B,"Not Found")</f>
        <v>Books</v>
      </c>
      <c r="I186">
        <f>_xlfn.XLOOKUP(A186,Orders!B:B,Orders!C:C,"Not Found")</f>
        <v>3</v>
      </c>
    </row>
    <row r="187" spans="1:9" x14ac:dyDescent="0.3">
      <c r="A187" s="1" t="s">
        <v>251</v>
      </c>
      <c r="B187" s="1" t="s">
        <v>35</v>
      </c>
      <c r="C187">
        <v>4</v>
      </c>
      <c r="D187">
        <v>22</v>
      </c>
      <c r="E187" t="b">
        <v>0</v>
      </c>
      <c r="F187" s="2">
        <v>45969</v>
      </c>
      <c r="G187" t="b">
        <v>0</v>
      </c>
      <c r="H187" t="str">
        <f>_xlfn.XLOOKUP(B187,Products!A:A,Products!B:B,"Not Found")</f>
        <v>Sports</v>
      </c>
      <c r="I187">
        <f>_xlfn.XLOOKUP(A187,Orders!B:B,Orders!C:C,"Not Found")</f>
        <v>8</v>
      </c>
    </row>
    <row r="188" spans="1:9" x14ac:dyDescent="0.3">
      <c r="A188" s="1" t="s">
        <v>252</v>
      </c>
      <c r="B188" s="1" t="s">
        <v>94</v>
      </c>
      <c r="C188">
        <v>4</v>
      </c>
      <c r="D188">
        <v>52</v>
      </c>
      <c r="E188" t="b">
        <v>0</v>
      </c>
      <c r="F188" s="2">
        <v>45995</v>
      </c>
      <c r="G188" t="b">
        <v>0</v>
      </c>
      <c r="H188" t="str">
        <f>_xlfn.XLOOKUP(B188,Products!A:A,Products!B:B,"Not Found")</f>
        <v>Beauty</v>
      </c>
      <c r="I188">
        <f>_xlfn.XLOOKUP(A188,Orders!B:B,Orders!C:C,"Not Found")</f>
        <v>5</v>
      </c>
    </row>
    <row r="189" spans="1:9" x14ac:dyDescent="0.3">
      <c r="A189" s="1" t="s">
        <v>253</v>
      </c>
      <c r="B189" s="1" t="s">
        <v>73</v>
      </c>
      <c r="D189">
        <v>24</v>
      </c>
      <c r="E189" t="b">
        <v>0</v>
      </c>
      <c r="F189" s="2">
        <v>45720</v>
      </c>
      <c r="G189" t="b">
        <v>0</v>
      </c>
      <c r="H189" t="str">
        <f>_xlfn.XLOOKUP(B189,Products!A:A,Products!B:B,"Not Found")</f>
        <v>Books</v>
      </c>
      <c r="I189">
        <f>_xlfn.XLOOKUP(A189,Orders!B:B,Orders!C:C,"Not Found")</f>
        <v>2</v>
      </c>
    </row>
    <row r="190" spans="1:9" x14ac:dyDescent="0.3">
      <c r="A190" s="1" t="s">
        <v>254</v>
      </c>
      <c r="B190" s="1" t="s">
        <v>31</v>
      </c>
      <c r="C190">
        <v>3</v>
      </c>
      <c r="D190">
        <v>52</v>
      </c>
      <c r="E190" t="b">
        <v>1</v>
      </c>
      <c r="F190" s="2">
        <v>45890</v>
      </c>
      <c r="G190" t="b">
        <v>0</v>
      </c>
      <c r="H190" t="str">
        <f>_xlfn.XLOOKUP(B190,Products!A:A,Products!B:B,"Not Found")</f>
        <v>Sports</v>
      </c>
      <c r="I190">
        <f>_xlfn.XLOOKUP(A190,Orders!B:B,Orders!C:C,"Not Found")</f>
        <v>3</v>
      </c>
    </row>
    <row r="191" spans="1:9" x14ac:dyDescent="0.3">
      <c r="A191" s="1" t="s">
        <v>255</v>
      </c>
      <c r="B191" s="1" t="s">
        <v>25</v>
      </c>
      <c r="C191">
        <v>1</v>
      </c>
      <c r="D191">
        <v>20</v>
      </c>
      <c r="E191" t="b">
        <v>1</v>
      </c>
      <c r="F191" s="2">
        <v>45803</v>
      </c>
      <c r="G191" t="b">
        <v>0</v>
      </c>
      <c r="H191" t="str">
        <f>_xlfn.XLOOKUP(B191,Products!A:A,Products!B:B,"Not Found")</f>
        <v>Books</v>
      </c>
      <c r="I191">
        <f>_xlfn.XLOOKUP(A191,Orders!B:B,Orders!C:C,"Not Found")</f>
        <v>8</v>
      </c>
    </row>
    <row r="192" spans="1:9" x14ac:dyDescent="0.3">
      <c r="A192" s="1" t="s">
        <v>256</v>
      </c>
      <c r="B192" s="1" t="s">
        <v>189</v>
      </c>
      <c r="C192">
        <v>4</v>
      </c>
      <c r="D192">
        <v>26</v>
      </c>
      <c r="E192" t="b">
        <v>1</v>
      </c>
      <c r="F192" s="2">
        <v>45739</v>
      </c>
      <c r="G192" t="b">
        <v>0</v>
      </c>
      <c r="H192" t="str">
        <f>_xlfn.XLOOKUP(B192,Products!A:A,Products!B:B,"Not Found")</f>
        <v>Sports</v>
      </c>
      <c r="I192">
        <f>_xlfn.XLOOKUP(A192,Orders!B:B,Orders!C:C,"Not Found")</f>
        <v>4</v>
      </c>
    </row>
    <row r="193" spans="1:9" x14ac:dyDescent="0.3">
      <c r="A193" s="1" t="s">
        <v>257</v>
      </c>
      <c r="B193" s="1" t="s">
        <v>96</v>
      </c>
      <c r="C193">
        <v>4</v>
      </c>
      <c r="D193">
        <v>12</v>
      </c>
      <c r="E193" t="b">
        <v>0</v>
      </c>
      <c r="F193" s="2">
        <v>45765</v>
      </c>
      <c r="G193" t="b">
        <v>0</v>
      </c>
      <c r="H193" t="str">
        <f>_xlfn.XLOOKUP(B193,Products!A:A,Products!B:B,"Not Found")</f>
        <v>Sports</v>
      </c>
      <c r="I193">
        <f>_xlfn.XLOOKUP(A193,Orders!B:B,Orders!C:C,"Not Found")</f>
        <v>8</v>
      </c>
    </row>
    <row r="194" spans="1:9" x14ac:dyDescent="0.3">
      <c r="A194" s="1" t="s">
        <v>258</v>
      </c>
      <c r="B194" s="1" t="s">
        <v>96</v>
      </c>
      <c r="C194">
        <v>1</v>
      </c>
      <c r="D194">
        <v>39</v>
      </c>
      <c r="E194" t="b">
        <v>1</v>
      </c>
      <c r="F194" s="2">
        <v>45658</v>
      </c>
      <c r="G194" t="b">
        <v>0</v>
      </c>
      <c r="H194" t="str">
        <f>_xlfn.XLOOKUP(B194,Products!A:A,Products!B:B,"Not Found")</f>
        <v>Sports</v>
      </c>
      <c r="I194">
        <f>_xlfn.XLOOKUP(A194,Orders!B:B,Orders!C:C,"Not Found")</f>
        <v>3</v>
      </c>
    </row>
    <row r="195" spans="1:9" x14ac:dyDescent="0.3">
      <c r="A195" s="1" t="s">
        <v>259</v>
      </c>
      <c r="B195" s="1" t="s">
        <v>90</v>
      </c>
      <c r="C195">
        <v>5</v>
      </c>
      <c r="D195">
        <v>34</v>
      </c>
      <c r="E195" t="b">
        <v>0</v>
      </c>
      <c r="F195" s="2">
        <v>45756</v>
      </c>
      <c r="G195" t="b">
        <v>0</v>
      </c>
      <c r="H195" t="str">
        <f>_xlfn.XLOOKUP(B195,Products!A:A,Products!B:B,"Not Found")</f>
        <v>Books</v>
      </c>
      <c r="I195">
        <f>_xlfn.XLOOKUP(A195,Orders!B:B,Orders!C:C,"Not Found")</f>
        <v>5</v>
      </c>
    </row>
    <row r="196" spans="1:9" x14ac:dyDescent="0.3">
      <c r="A196" s="1" t="s">
        <v>260</v>
      </c>
      <c r="B196" s="1" t="s">
        <v>68</v>
      </c>
      <c r="C196">
        <v>4</v>
      </c>
      <c r="D196">
        <v>21</v>
      </c>
      <c r="E196" t="b">
        <v>1</v>
      </c>
      <c r="F196" s="2">
        <v>45872</v>
      </c>
      <c r="G196" t="b">
        <v>0</v>
      </c>
      <c r="H196" t="str">
        <f>_xlfn.XLOOKUP(B196,Products!A:A,Products!B:B,"Not Found")</f>
        <v>Sports</v>
      </c>
      <c r="I196">
        <f>_xlfn.XLOOKUP(A196,Orders!B:B,Orders!C:C,"Not Found")</f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77AD-53D6-4719-956F-648CAE8D946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7A6BA-D71C-461E-9739-FA008731C1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Support</vt:lpstr>
      <vt:lpstr>Orders</vt:lpstr>
      <vt:lpstr>Sellers</vt:lpstr>
      <vt:lpstr>Products</vt:lpstr>
      <vt:lpstr>Sheet2</vt:lpstr>
      <vt:lpstr>Sheet6</vt:lpstr>
      <vt:lpstr>Sheet8</vt:lpstr>
      <vt:lpstr>Summary</vt:lpstr>
      <vt:lpstr>Reviews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Gobika S</dc:creator>
  <cp:lastModifiedBy>Gobika S</cp:lastModifiedBy>
  <dcterms:created xsi:type="dcterms:W3CDTF">2026-10-12T07:17:35Z</dcterms:created>
  <dcterms:modified xsi:type="dcterms:W3CDTF">2026-10-12T09:00:54Z</dcterms:modified>
</cp:coreProperties>
</file>